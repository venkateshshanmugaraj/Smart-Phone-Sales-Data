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VENKATESHSHANMUGARAJ\Downloads\"/>
    </mc:Choice>
  </mc:AlternateContent>
  <xr:revisionPtr revIDLastSave="0" documentId="8_{584ACE0C-93D1-4E9E-96B6-AEC91C0B7A92}" xr6:coauthVersionLast="47" xr6:coauthVersionMax="47" xr10:uidLastSave="{00000000-0000-0000-0000-000000000000}"/>
  <bookViews>
    <workbookView xWindow="-108" yWindow="-108" windowWidth="23256" windowHeight="12456" activeTab="2" xr2:uid="{710F7CB2-F9D6-487F-83EA-1ECFECB9EF66}"/>
  </bookViews>
  <sheets>
    <sheet name="Sales Data" sheetId="1" r:id="rId1"/>
    <sheet name="Pivot Table" sheetId="2" r:id="rId2"/>
    <sheet name="DashBoard" sheetId="3" r:id="rId3"/>
  </sheets>
  <definedNames>
    <definedName name="Slicer_Brands">#N/A</definedName>
    <definedName name="Slicer_Date">#N/A</definedName>
    <definedName name="Slicer_Location">#N/A</definedName>
    <definedName name="Slicer_Rating">#N/A</definedName>
    <definedName name="Slicer_Storage">#N/A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5" i="1" l="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K9" i="1"/>
  <c r="I9" i="1"/>
  <c r="I8" i="1"/>
  <c r="I7" i="1"/>
  <c r="I6" i="1"/>
  <c r="I5" i="1"/>
  <c r="I4" i="1"/>
  <c r="K3" i="1"/>
  <c r="I3" i="1"/>
  <c r="I2" i="1"/>
  <c r="K6" i="1" l="1"/>
</calcChain>
</file>

<file path=xl/sharedStrings.xml><?xml version="1.0" encoding="utf-8"?>
<sst xmlns="http://schemas.openxmlformats.org/spreadsheetml/2006/main" count="355" uniqueCount="36">
  <si>
    <t>Date</t>
  </si>
  <si>
    <t>Brands</t>
  </si>
  <si>
    <t>Memory</t>
  </si>
  <si>
    <t>Storage</t>
  </si>
  <si>
    <t>Location</t>
  </si>
  <si>
    <t>Rating</t>
  </si>
  <si>
    <t>Selling Price</t>
  </si>
  <si>
    <t>Original Price</t>
  </si>
  <si>
    <t>Profit</t>
  </si>
  <si>
    <t>SAMSUNG</t>
  </si>
  <si>
    <t>8 GB</t>
  </si>
  <si>
    <t>128 GB</t>
  </si>
  <si>
    <t>Tamil Nadu</t>
  </si>
  <si>
    <t>Grand Total</t>
  </si>
  <si>
    <t>16 GB</t>
  </si>
  <si>
    <t>Kerala</t>
  </si>
  <si>
    <t>Karnataka</t>
  </si>
  <si>
    <t>4 GB</t>
  </si>
  <si>
    <t>64 GB</t>
  </si>
  <si>
    <t>Telangana</t>
  </si>
  <si>
    <t>Total profit</t>
  </si>
  <si>
    <t>Apple</t>
  </si>
  <si>
    <t>Andhra Pradesh</t>
  </si>
  <si>
    <t>6 GB</t>
  </si>
  <si>
    <t>Average Sales</t>
  </si>
  <si>
    <t>256 GB</t>
  </si>
  <si>
    <t>OPPO</t>
  </si>
  <si>
    <t>32 GB</t>
  </si>
  <si>
    <t>vivo</t>
  </si>
  <si>
    <t>RED MI</t>
  </si>
  <si>
    <t>Row Labels</t>
  </si>
  <si>
    <t>Sum of Selling Price</t>
  </si>
  <si>
    <t>Sum of Profit</t>
  </si>
  <si>
    <t>Sum of Original Price</t>
  </si>
  <si>
    <t>Sum of Rating</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</si>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</sst>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quot;₹&quot;\ #,##0"/>
  </numFmts>
  <fonts count="1" x14ac:knownFonts="1">
    <font>
      <sz val="11"/>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2" borderId="1" xfId="0" applyFill="1" applyBorder="1" applyAlignment="1">
      <alignment horizontal="center"/>
    </xf>
    <xf numFmtId="0" fontId="0" fillId="2" borderId="0" xfId="0" applyFill="1" applyAlignment="1">
      <alignment horizontal="center"/>
    </xf>
    <xf numFmtId="0" fontId="0" fillId="0" borderId="0" xfId="0" applyAlignment="1">
      <alignment horizontal="center"/>
    </xf>
    <xf numFmtId="164" fontId="0" fillId="3" borderId="0" xfId="0" applyNumberFormat="1" applyFill="1" applyAlignment="1">
      <alignment horizontal="center"/>
    </xf>
    <xf numFmtId="165" fontId="0" fillId="0" borderId="0" xfId="0" applyNumberFormat="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Alignment="1">
      <alignment horizontal="center"/>
    </xf>
  </cellXfs>
  <cellStyles count="1">
    <cellStyle name="Normal" xfId="0" builtinId="0"/>
  </cellStyles>
  <dxfs count="11">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00B0F0"/>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3243563B-96E8-4FE7-8C5F-7D291D18547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 Sales Data.xlsx]Pivot Table!PivotTable8</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54B-4E7D-BB8F-45CD377D337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54B-4E7D-BB8F-45CD377D337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54B-4E7D-BB8F-45CD377D337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54B-4E7D-BB8F-45CD377D337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54B-4E7D-BB8F-45CD377D337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Table'!$A$4:$A$9</c:f>
              <c:strCache>
                <c:ptCount val="5"/>
                <c:pt idx="0">
                  <c:v>Andhra Pradesh</c:v>
                </c:pt>
                <c:pt idx="1">
                  <c:v>Karnataka</c:v>
                </c:pt>
                <c:pt idx="2">
                  <c:v>Kerala</c:v>
                </c:pt>
                <c:pt idx="3">
                  <c:v>Tamil Nadu</c:v>
                </c:pt>
                <c:pt idx="4">
                  <c:v>Telangana</c:v>
                </c:pt>
              </c:strCache>
            </c:strRef>
          </c:cat>
          <c:val>
            <c:numRef>
              <c:f>'Pivot Table'!$B$4:$B$9</c:f>
              <c:numCache>
                <c:formatCode>General</c:formatCode>
                <c:ptCount val="5"/>
                <c:pt idx="0">
                  <c:v>26339</c:v>
                </c:pt>
                <c:pt idx="1">
                  <c:v>37210</c:v>
                </c:pt>
                <c:pt idx="2">
                  <c:v>47553</c:v>
                </c:pt>
                <c:pt idx="3">
                  <c:v>15954</c:v>
                </c:pt>
                <c:pt idx="4">
                  <c:v>32800</c:v>
                </c:pt>
              </c:numCache>
            </c:numRef>
          </c:val>
          <c:extLst>
            <c:ext xmlns:c16="http://schemas.microsoft.com/office/drawing/2014/chart" uri="{C3380CC4-5D6E-409C-BE32-E72D297353CC}">
              <c16:uniqueId val="{00000000-4354-48A0-9659-D77B7DB3A11A}"/>
            </c:ext>
          </c:extLst>
        </c:ser>
        <c:dLbls>
          <c:dLblPos val="inEnd"/>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 Sales Data.xlsx]Pivot Table!PivotTable9</c:name>
    <c:fmtId val="1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Table'!$E$3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Table'!$D$4:$D$9</c:f>
              <c:strCache>
                <c:ptCount val="5"/>
                <c:pt idx="0">
                  <c:v>Apple</c:v>
                </c:pt>
                <c:pt idx="1">
                  <c:v>OPPO</c:v>
                </c:pt>
                <c:pt idx="2">
                  <c:v>RED MI</c:v>
                </c:pt>
                <c:pt idx="3">
                  <c:v>SAMSUNG</c:v>
                </c:pt>
                <c:pt idx="4">
                  <c:v>vivo</c:v>
                </c:pt>
              </c:strCache>
            </c:strRef>
          </c:cat>
          <c:val>
            <c:numRef>
              <c:f>'Pivot Table'!$E$4:$E$9</c:f>
              <c:numCache>
                <c:formatCode>General</c:formatCode>
                <c:ptCount val="5"/>
                <c:pt idx="0">
                  <c:v>701639</c:v>
                </c:pt>
                <c:pt idx="1">
                  <c:v>463161</c:v>
                </c:pt>
                <c:pt idx="2">
                  <c:v>202293</c:v>
                </c:pt>
                <c:pt idx="3">
                  <c:v>523769</c:v>
                </c:pt>
                <c:pt idx="4">
                  <c:v>247711</c:v>
                </c:pt>
              </c:numCache>
            </c:numRef>
          </c:val>
          <c:extLst>
            <c:ext xmlns:c16="http://schemas.microsoft.com/office/drawing/2014/chart" uri="{C3380CC4-5D6E-409C-BE32-E72D297353CC}">
              <c16:uniqueId val="{00000000-5BE4-41A1-8B29-F9030645419E}"/>
            </c:ext>
          </c:extLst>
        </c:ser>
        <c:dLbls>
          <c:showLegendKey val="0"/>
          <c:showVal val="1"/>
          <c:showCatName val="0"/>
          <c:showSerName val="0"/>
          <c:showPercent val="0"/>
          <c:showBubbleSize val="0"/>
        </c:dLbls>
        <c:gapWidth val="79"/>
        <c:shape val="box"/>
        <c:axId val="1375244911"/>
        <c:axId val="1375245871"/>
        <c:axId val="0"/>
      </c:bar3DChart>
      <c:catAx>
        <c:axId val="137524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75245871"/>
        <c:crosses val="autoZero"/>
        <c:auto val="1"/>
        <c:lblAlgn val="ctr"/>
        <c:lblOffset val="100"/>
        <c:noMultiLvlLbl val="0"/>
      </c:catAx>
      <c:valAx>
        <c:axId val="1375245871"/>
        <c:scaling>
          <c:orientation val="minMax"/>
        </c:scaling>
        <c:delete val="1"/>
        <c:axPos val="b"/>
        <c:numFmt formatCode="General" sourceLinked="1"/>
        <c:majorTickMark val="none"/>
        <c:minorTickMark val="none"/>
        <c:tickLblPos val="nextTo"/>
        <c:crossAx val="1375244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[Smartphone Sales Data.xlsx]Pivot Table!PivotTable10</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1839167694399639E-2"/>
          <c:y val="0.12840267077555212"/>
          <c:w val="0.83063163791273076"/>
          <c:h val="0.64659257731458453"/>
        </c:manualLayout>
      </c:layout>
      <c:bar3DChart>
        <c:barDir val="col"/>
        <c:grouping val="standard"/>
        <c:varyColors val="0"/>
        <c:ser>
          <c:idx val="0"/>
          <c:order val="0"/>
          <c:tx>
            <c:strRef>
              <c:f>'Pivot Table'!$H$3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Table'!$G$4:$G$9</c:f>
              <c:strCache>
                <c:ptCount val="5"/>
                <c:pt idx="0">
                  <c:v>Andhra Pradesh</c:v>
                </c:pt>
                <c:pt idx="1">
                  <c:v>Karnataka</c:v>
                </c:pt>
                <c:pt idx="2">
                  <c:v>Kerala</c:v>
                </c:pt>
                <c:pt idx="3">
                  <c:v>Tamil Nadu</c:v>
                </c:pt>
                <c:pt idx="4">
                  <c:v>Telangana</c:v>
                </c:pt>
              </c:strCache>
            </c:strRef>
          </c:cat>
          <c:val>
            <c:numRef>
              <c:f>'Pivot Table'!$H$4:$H$9</c:f>
              <c:numCache>
                <c:formatCode>General</c:formatCode>
                <c:ptCount val="5"/>
                <c:pt idx="0">
                  <c:v>83.5</c:v>
                </c:pt>
                <c:pt idx="1">
                  <c:v>31.5</c:v>
                </c:pt>
                <c:pt idx="2">
                  <c:v>68.5</c:v>
                </c:pt>
                <c:pt idx="3">
                  <c:v>73</c:v>
                </c:pt>
                <c:pt idx="4">
                  <c:v>72</c:v>
                </c:pt>
              </c:numCache>
            </c:numRef>
          </c:val>
          <c:extLst>
            <c:ext xmlns:c16="http://schemas.microsoft.com/office/drawing/2014/chart" uri="{C3380CC4-5D6E-409C-BE32-E72D297353CC}">
              <c16:uniqueId val="{00000000-A7CC-4136-8C22-59B856B7713C}"/>
            </c:ext>
          </c:extLst>
        </c:ser>
        <c:dLbls>
          <c:showLegendKey val="0"/>
          <c:showVal val="1"/>
          <c:showCatName val="0"/>
          <c:showSerName val="0"/>
          <c:showPercent val="0"/>
          <c:showBubbleSize val="0"/>
        </c:dLbls>
        <c:gapWidth val="150"/>
        <c:shape val="box"/>
        <c:axId val="1001260111"/>
        <c:axId val="1001267311"/>
        <c:axId val="596168383"/>
      </c:bar3DChart>
      <c:catAx>
        <c:axId val="100126011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267311"/>
        <c:crosses val="autoZero"/>
        <c:auto val="1"/>
        <c:lblAlgn val="ctr"/>
        <c:lblOffset val="100"/>
        <c:noMultiLvlLbl val="0"/>
      </c:catAx>
      <c:valAx>
        <c:axId val="100126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260111"/>
        <c:crosses val="autoZero"/>
        <c:crossBetween val="between"/>
      </c:valAx>
      <c:serAx>
        <c:axId val="596168383"/>
        <c:scaling>
          <c:orientation val="minMax"/>
        </c:scaling>
        <c:delete val="1"/>
        <c:axPos val="b"/>
        <c:majorTickMark val="out"/>
        <c:minorTickMark val="none"/>
        <c:tickLblPos val="nextTo"/>
        <c:crossAx val="1001267311"/>
        <c:crosses val="autoZero"/>
      </c:ser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 Sales Data.xlsx]Pivot Table!PivotTable12</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Table'!$K$3</c:f>
              <c:strCache>
                <c:ptCount val="1"/>
                <c:pt idx="0">
                  <c:v>Sum of Original Price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Table'!$J$4:$J$9</c:f>
              <c:strCache>
                <c:ptCount val="5"/>
                <c:pt idx="0">
                  <c:v>Apple</c:v>
                </c:pt>
                <c:pt idx="1">
                  <c:v>OPPO</c:v>
                </c:pt>
                <c:pt idx="2">
                  <c:v>RED MI</c:v>
                </c:pt>
                <c:pt idx="3">
                  <c:v>SAMSUNG</c:v>
                </c:pt>
                <c:pt idx="4">
                  <c:v>vivo</c:v>
                </c:pt>
              </c:strCache>
            </c:strRef>
          </c:cat>
          <c:val>
            <c:numRef>
              <c:f>'Pivot Table'!$K$4:$K$9</c:f>
              <c:numCache>
                <c:formatCode>General</c:formatCode>
                <c:ptCount val="5"/>
                <c:pt idx="0">
                  <c:v>661085</c:v>
                </c:pt>
                <c:pt idx="1">
                  <c:v>434872</c:v>
                </c:pt>
                <c:pt idx="2">
                  <c:v>192471</c:v>
                </c:pt>
                <c:pt idx="3">
                  <c:v>471314</c:v>
                </c:pt>
                <c:pt idx="4">
                  <c:v>218975</c:v>
                </c:pt>
              </c:numCache>
            </c:numRef>
          </c:val>
          <c:smooth val="0"/>
          <c:extLst>
            <c:ext xmlns:c16="http://schemas.microsoft.com/office/drawing/2014/chart" uri="{C3380CC4-5D6E-409C-BE32-E72D297353CC}">
              <c16:uniqueId val="{00000000-CB2B-458F-9DEF-8788F4634F02}"/>
            </c:ext>
          </c:extLst>
        </c:ser>
        <c:ser>
          <c:idx val="1"/>
          <c:order val="1"/>
          <c:tx>
            <c:strRef>
              <c:f>'Pivot Table'!$L$3</c:f>
              <c:strCache>
                <c:ptCount val="1"/>
                <c:pt idx="0">
                  <c:v>Sum of Selling Price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Table'!$J$4:$J$9</c:f>
              <c:strCache>
                <c:ptCount val="5"/>
                <c:pt idx="0">
                  <c:v>Apple</c:v>
                </c:pt>
                <c:pt idx="1">
                  <c:v>OPPO</c:v>
                </c:pt>
                <c:pt idx="2">
                  <c:v>RED MI</c:v>
                </c:pt>
                <c:pt idx="3">
                  <c:v>SAMSUNG</c:v>
                </c:pt>
                <c:pt idx="4">
                  <c:v>vivo</c:v>
                </c:pt>
              </c:strCache>
            </c:strRef>
          </c:cat>
          <c:val>
            <c:numRef>
              <c:f>'Pivot Table'!$L$4:$L$9</c:f>
              <c:numCache>
                <c:formatCode>General</c:formatCode>
                <c:ptCount val="5"/>
                <c:pt idx="0">
                  <c:v>701639</c:v>
                </c:pt>
                <c:pt idx="1">
                  <c:v>463161</c:v>
                </c:pt>
                <c:pt idx="2">
                  <c:v>202293</c:v>
                </c:pt>
                <c:pt idx="3">
                  <c:v>523769</c:v>
                </c:pt>
                <c:pt idx="4">
                  <c:v>247711</c:v>
                </c:pt>
              </c:numCache>
            </c:numRef>
          </c:val>
          <c:smooth val="0"/>
          <c:extLst>
            <c:ext xmlns:c16="http://schemas.microsoft.com/office/drawing/2014/chart" uri="{C3380CC4-5D6E-409C-BE32-E72D297353CC}">
              <c16:uniqueId val="{00000001-CB2B-458F-9DEF-8788F4634F02}"/>
            </c:ext>
          </c:extLst>
        </c:ser>
        <c:dLbls>
          <c:showLegendKey val="0"/>
          <c:showVal val="0"/>
          <c:showCatName val="0"/>
          <c:showSerName val="0"/>
          <c:showPercent val="0"/>
          <c:showBubbleSize val="0"/>
        </c:dLbls>
        <c:marker val="1"/>
        <c:smooth val="0"/>
        <c:axId val="1372706831"/>
        <c:axId val="1372707311"/>
      </c:lineChart>
      <c:catAx>
        <c:axId val="13727068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707311"/>
        <c:crosses val="autoZero"/>
        <c:auto val="1"/>
        <c:lblAlgn val="ctr"/>
        <c:lblOffset val="100"/>
        <c:noMultiLvlLbl val="0"/>
      </c:catAx>
      <c:valAx>
        <c:axId val="137270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70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lumMod val="25000"/>
          <a:lumOff val="75000"/>
          <a:alpha val="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 Sales Data.xlsx]Pivot Table!PivotTable13</c:name>
    <c:fmtId val="1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Table'!$O$3:$O$4</c:f>
              <c:strCache>
                <c:ptCount val="1"/>
                <c:pt idx="0">
                  <c:v>128 GB</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Table'!$N$5:$N$10</c:f>
              <c:strCache>
                <c:ptCount val="5"/>
                <c:pt idx="0">
                  <c:v>Andhra Pradesh</c:v>
                </c:pt>
                <c:pt idx="1">
                  <c:v>Karnataka</c:v>
                </c:pt>
                <c:pt idx="2">
                  <c:v>Kerala</c:v>
                </c:pt>
                <c:pt idx="3">
                  <c:v>Tamil Nadu</c:v>
                </c:pt>
                <c:pt idx="4">
                  <c:v>Telangana</c:v>
                </c:pt>
              </c:strCache>
            </c:strRef>
          </c:cat>
          <c:val>
            <c:numRef>
              <c:f>'Pivot Table'!$O$5:$O$10</c:f>
              <c:numCache>
                <c:formatCode>General</c:formatCode>
                <c:ptCount val="5"/>
                <c:pt idx="0">
                  <c:v>102100</c:v>
                </c:pt>
                <c:pt idx="1">
                  <c:v>15000</c:v>
                </c:pt>
                <c:pt idx="2">
                  <c:v>104156</c:v>
                </c:pt>
                <c:pt idx="3">
                  <c:v>188849</c:v>
                </c:pt>
                <c:pt idx="4">
                  <c:v>100499</c:v>
                </c:pt>
              </c:numCache>
            </c:numRef>
          </c:val>
          <c:extLst>
            <c:ext xmlns:c16="http://schemas.microsoft.com/office/drawing/2014/chart" uri="{C3380CC4-5D6E-409C-BE32-E72D297353CC}">
              <c16:uniqueId val="{00000000-0C64-4F35-BE47-40B3F870D04B}"/>
            </c:ext>
          </c:extLst>
        </c:ser>
        <c:dLbls>
          <c:showLegendKey val="0"/>
          <c:showVal val="0"/>
          <c:showCatName val="0"/>
          <c:showSerName val="0"/>
          <c:showPercent val="0"/>
          <c:showBubbleSize val="0"/>
        </c:dLbls>
        <c:gapWidth val="219"/>
        <c:overlap val="-27"/>
        <c:axId val="159905904"/>
        <c:axId val="159890544"/>
      </c:barChart>
      <c:barChart>
        <c:barDir val="col"/>
        <c:grouping val="clustered"/>
        <c:varyColors val="0"/>
        <c:ser>
          <c:idx val="1"/>
          <c:order val="1"/>
          <c:tx>
            <c:strRef>
              <c:f>'Pivot Table'!$P$3:$P$4</c:f>
              <c:strCache>
                <c:ptCount val="1"/>
                <c:pt idx="0">
                  <c:v>256 GB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Table'!$N$5:$N$10</c:f>
              <c:strCache>
                <c:ptCount val="5"/>
                <c:pt idx="0">
                  <c:v>Andhra Pradesh</c:v>
                </c:pt>
                <c:pt idx="1">
                  <c:v>Karnataka</c:v>
                </c:pt>
                <c:pt idx="2">
                  <c:v>Kerala</c:v>
                </c:pt>
                <c:pt idx="3">
                  <c:v>Tamil Nadu</c:v>
                </c:pt>
                <c:pt idx="4">
                  <c:v>Telangana</c:v>
                </c:pt>
              </c:strCache>
            </c:strRef>
          </c:cat>
          <c:val>
            <c:numRef>
              <c:f>'Pivot Table'!$P$5:$P$10</c:f>
              <c:numCache>
                <c:formatCode>General</c:formatCode>
                <c:ptCount val="5"/>
                <c:pt idx="0">
                  <c:v>316451</c:v>
                </c:pt>
                <c:pt idx="1">
                  <c:v>322899</c:v>
                </c:pt>
                <c:pt idx="2">
                  <c:v>295599</c:v>
                </c:pt>
                <c:pt idx="4">
                  <c:v>196210</c:v>
                </c:pt>
              </c:numCache>
            </c:numRef>
          </c:val>
          <c:extLst>
            <c:ext xmlns:c16="http://schemas.microsoft.com/office/drawing/2014/chart" uri="{C3380CC4-5D6E-409C-BE32-E72D297353CC}">
              <c16:uniqueId val="{00000001-0C64-4F35-BE47-40B3F870D04B}"/>
            </c:ext>
          </c:extLst>
        </c:ser>
        <c:dLbls>
          <c:showLegendKey val="0"/>
          <c:showVal val="0"/>
          <c:showCatName val="0"/>
          <c:showSerName val="0"/>
          <c:showPercent val="0"/>
          <c:showBubbleSize val="0"/>
        </c:dLbls>
        <c:gapWidth val="219"/>
        <c:overlap val="-27"/>
        <c:axId val="1832371695"/>
        <c:axId val="1832355375"/>
      </c:barChart>
      <c:lineChart>
        <c:grouping val="stacked"/>
        <c:varyColors val="0"/>
        <c:ser>
          <c:idx val="2"/>
          <c:order val="2"/>
          <c:tx>
            <c:strRef>
              <c:f>'Pivot Table'!$Q$3:$Q$4</c:f>
              <c:strCache>
                <c:ptCount val="1"/>
                <c:pt idx="0">
                  <c:v>32 GB</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Table'!$N$5:$N$10</c:f>
              <c:strCache>
                <c:ptCount val="5"/>
                <c:pt idx="0">
                  <c:v>Andhra Pradesh</c:v>
                </c:pt>
                <c:pt idx="1">
                  <c:v>Karnataka</c:v>
                </c:pt>
                <c:pt idx="2">
                  <c:v>Kerala</c:v>
                </c:pt>
                <c:pt idx="3">
                  <c:v>Tamil Nadu</c:v>
                </c:pt>
                <c:pt idx="4">
                  <c:v>Telangana</c:v>
                </c:pt>
              </c:strCache>
            </c:strRef>
          </c:cat>
          <c:val>
            <c:numRef>
              <c:f>'Pivot Table'!$Q$5:$Q$10</c:f>
              <c:numCache>
                <c:formatCode>General</c:formatCode>
                <c:ptCount val="5"/>
                <c:pt idx="0">
                  <c:v>86500</c:v>
                </c:pt>
                <c:pt idx="1">
                  <c:v>12000</c:v>
                </c:pt>
                <c:pt idx="2">
                  <c:v>74395</c:v>
                </c:pt>
                <c:pt idx="3">
                  <c:v>84999</c:v>
                </c:pt>
                <c:pt idx="4">
                  <c:v>92541</c:v>
                </c:pt>
              </c:numCache>
            </c:numRef>
          </c:val>
          <c:smooth val="0"/>
          <c:extLst>
            <c:ext xmlns:c16="http://schemas.microsoft.com/office/drawing/2014/chart" uri="{C3380CC4-5D6E-409C-BE32-E72D297353CC}">
              <c16:uniqueId val="{00000002-0C64-4F35-BE47-40B3F870D04B}"/>
            </c:ext>
          </c:extLst>
        </c:ser>
        <c:ser>
          <c:idx val="3"/>
          <c:order val="3"/>
          <c:tx>
            <c:strRef>
              <c:f>'Pivot Table'!$R$3:$R$4</c:f>
              <c:strCache>
                <c:ptCount val="1"/>
                <c:pt idx="0">
                  <c:v>64 GB</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Table'!$N$5:$N$10</c:f>
              <c:strCache>
                <c:ptCount val="5"/>
                <c:pt idx="0">
                  <c:v>Andhra Pradesh</c:v>
                </c:pt>
                <c:pt idx="1">
                  <c:v>Karnataka</c:v>
                </c:pt>
                <c:pt idx="2">
                  <c:v>Kerala</c:v>
                </c:pt>
                <c:pt idx="3">
                  <c:v>Tamil Nadu</c:v>
                </c:pt>
                <c:pt idx="4">
                  <c:v>Telangana</c:v>
                </c:pt>
              </c:strCache>
            </c:strRef>
          </c:cat>
          <c:val>
            <c:numRef>
              <c:f>'Pivot Table'!$R$5:$R$10</c:f>
              <c:numCache>
                <c:formatCode>General</c:formatCode>
                <c:ptCount val="5"/>
                <c:pt idx="0">
                  <c:v>25666</c:v>
                </c:pt>
                <c:pt idx="1">
                  <c:v>9999</c:v>
                </c:pt>
                <c:pt idx="2">
                  <c:v>32500</c:v>
                </c:pt>
                <c:pt idx="3">
                  <c:v>44210</c:v>
                </c:pt>
                <c:pt idx="4">
                  <c:v>34000</c:v>
                </c:pt>
              </c:numCache>
            </c:numRef>
          </c:val>
          <c:smooth val="0"/>
          <c:extLst>
            <c:ext xmlns:c16="http://schemas.microsoft.com/office/drawing/2014/chart" uri="{C3380CC4-5D6E-409C-BE32-E72D297353CC}">
              <c16:uniqueId val="{00000003-0C64-4F35-BE47-40B3F870D04B}"/>
            </c:ext>
          </c:extLst>
        </c:ser>
        <c:dLbls>
          <c:showLegendKey val="0"/>
          <c:showVal val="0"/>
          <c:showCatName val="0"/>
          <c:showSerName val="0"/>
          <c:showPercent val="0"/>
          <c:showBubbleSize val="0"/>
        </c:dLbls>
        <c:marker val="1"/>
        <c:smooth val="0"/>
        <c:axId val="159905904"/>
        <c:axId val="159890544"/>
      </c:lineChart>
      <c:catAx>
        <c:axId val="1599059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90544"/>
        <c:crosses val="autoZero"/>
        <c:auto val="1"/>
        <c:lblAlgn val="ctr"/>
        <c:lblOffset val="100"/>
        <c:noMultiLvlLbl val="0"/>
      </c:catAx>
      <c:valAx>
        <c:axId val="15989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05904"/>
        <c:crosses val="autoZero"/>
        <c:crossBetween val="between"/>
      </c:valAx>
      <c:valAx>
        <c:axId val="183235537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371695"/>
        <c:crosses val="max"/>
        <c:crossBetween val="between"/>
      </c:valAx>
      <c:catAx>
        <c:axId val="1832371695"/>
        <c:scaling>
          <c:orientation val="minMax"/>
        </c:scaling>
        <c:delete val="1"/>
        <c:axPos val="b"/>
        <c:numFmt formatCode="General" sourceLinked="1"/>
        <c:majorTickMark val="none"/>
        <c:minorTickMark val="none"/>
        <c:tickLblPos val="nextTo"/>
        <c:crossAx val="18323553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 Sales Data.xlsx]Pivot Table!PivotTable8</c:name>
    <c:fmtId val="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40A-424A-9D2F-DDB11D902F6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40A-424A-9D2F-DDB11D902F6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40A-424A-9D2F-DDB11D902F6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40A-424A-9D2F-DDB11D902F6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40A-424A-9D2F-DDB11D902F6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Table'!$A$4:$A$9</c:f>
              <c:strCache>
                <c:ptCount val="5"/>
                <c:pt idx="0">
                  <c:v>Andhra Pradesh</c:v>
                </c:pt>
                <c:pt idx="1">
                  <c:v>Karnataka</c:v>
                </c:pt>
                <c:pt idx="2">
                  <c:v>Kerala</c:v>
                </c:pt>
                <c:pt idx="3">
                  <c:v>Tamil Nadu</c:v>
                </c:pt>
                <c:pt idx="4">
                  <c:v>Telangana</c:v>
                </c:pt>
              </c:strCache>
            </c:strRef>
          </c:cat>
          <c:val>
            <c:numRef>
              <c:f>'Pivot Table'!$B$4:$B$9</c:f>
              <c:numCache>
                <c:formatCode>General</c:formatCode>
                <c:ptCount val="5"/>
                <c:pt idx="0">
                  <c:v>26339</c:v>
                </c:pt>
                <c:pt idx="1">
                  <c:v>37210</c:v>
                </c:pt>
                <c:pt idx="2">
                  <c:v>47553</c:v>
                </c:pt>
                <c:pt idx="3">
                  <c:v>15954</c:v>
                </c:pt>
                <c:pt idx="4">
                  <c:v>32800</c:v>
                </c:pt>
              </c:numCache>
            </c:numRef>
          </c:val>
          <c:extLst>
            <c:ext xmlns:c16="http://schemas.microsoft.com/office/drawing/2014/chart" uri="{C3380CC4-5D6E-409C-BE32-E72D297353CC}">
              <c16:uniqueId val="{0000000A-740A-424A-9D2F-DDB11D902F60}"/>
            </c:ext>
          </c:extLst>
        </c:ser>
        <c:dLbls>
          <c:dLblPos val="inEnd"/>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 Sales Data.xlsx]Pivot Table!PivotTable9</c:name>
    <c:fmtId val="24"/>
  </c:pivotSource>
  <c:chart>
    <c:autoTitleDeleted val="1"/>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Table'!$E$3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Table'!$D$4:$D$9</c:f>
              <c:strCache>
                <c:ptCount val="5"/>
                <c:pt idx="0">
                  <c:v>Apple</c:v>
                </c:pt>
                <c:pt idx="1">
                  <c:v>OPPO</c:v>
                </c:pt>
                <c:pt idx="2">
                  <c:v>RED MI</c:v>
                </c:pt>
                <c:pt idx="3">
                  <c:v>SAMSUNG</c:v>
                </c:pt>
                <c:pt idx="4">
                  <c:v>vivo</c:v>
                </c:pt>
              </c:strCache>
            </c:strRef>
          </c:cat>
          <c:val>
            <c:numRef>
              <c:f>'Pivot Table'!$E$4:$E$9</c:f>
              <c:numCache>
                <c:formatCode>General</c:formatCode>
                <c:ptCount val="5"/>
                <c:pt idx="0">
                  <c:v>701639</c:v>
                </c:pt>
                <c:pt idx="1">
                  <c:v>463161</c:v>
                </c:pt>
                <c:pt idx="2">
                  <c:v>202293</c:v>
                </c:pt>
                <c:pt idx="3">
                  <c:v>523769</c:v>
                </c:pt>
                <c:pt idx="4">
                  <c:v>247711</c:v>
                </c:pt>
              </c:numCache>
            </c:numRef>
          </c:val>
          <c:extLst>
            <c:ext xmlns:c16="http://schemas.microsoft.com/office/drawing/2014/chart" uri="{C3380CC4-5D6E-409C-BE32-E72D297353CC}">
              <c16:uniqueId val="{00000000-AA5D-4B1E-A8F4-99011E9972E9}"/>
            </c:ext>
          </c:extLst>
        </c:ser>
        <c:dLbls>
          <c:showLegendKey val="0"/>
          <c:showVal val="1"/>
          <c:showCatName val="0"/>
          <c:showSerName val="0"/>
          <c:showPercent val="0"/>
          <c:showBubbleSize val="0"/>
        </c:dLbls>
        <c:gapWidth val="79"/>
        <c:shape val="box"/>
        <c:axId val="1375244911"/>
        <c:axId val="1375245871"/>
        <c:axId val="0"/>
      </c:bar3DChart>
      <c:catAx>
        <c:axId val="137524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75245871"/>
        <c:crosses val="autoZero"/>
        <c:auto val="1"/>
        <c:lblAlgn val="ctr"/>
        <c:lblOffset val="100"/>
        <c:noMultiLvlLbl val="0"/>
      </c:catAx>
      <c:valAx>
        <c:axId val="1375245871"/>
        <c:scaling>
          <c:orientation val="minMax"/>
        </c:scaling>
        <c:delete val="1"/>
        <c:axPos val="b"/>
        <c:numFmt formatCode="General" sourceLinked="1"/>
        <c:majorTickMark val="none"/>
        <c:minorTickMark val="none"/>
        <c:tickLblPos val="nextTo"/>
        <c:crossAx val="1375244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[Smartphone Sales Data.xlsx]Pivot Table!PivotTable10</c:name>
    <c:fmtId val="21"/>
  </c:pivotSource>
  <c:chart>
    <c:autoTitleDeleted val="1"/>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1839167694399639E-2"/>
          <c:y val="0.12840267077555212"/>
          <c:w val="0.83063163791273076"/>
          <c:h val="0.64659257731458453"/>
        </c:manualLayout>
      </c:layout>
      <c:bar3DChart>
        <c:barDir val="col"/>
        <c:grouping val="standard"/>
        <c:varyColors val="0"/>
        <c:ser>
          <c:idx val="0"/>
          <c:order val="0"/>
          <c:tx>
            <c:strRef>
              <c:f>'Pivot Table'!$H$3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Table'!$G$4:$G$9</c:f>
              <c:strCache>
                <c:ptCount val="5"/>
                <c:pt idx="0">
                  <c:v>Andhra Pradesh</c:v>
                </c:pt>
                <c:pt idx="1">
                  <c:v>Karnataka</c:v>
                </c:pt>
                <c:pt idx="2">
                  <c:v>Kerala</c:v>
                </c:pt>
                <c:pt idx="3">
                  <c:v>Tamil Nadu</c:v>
                </c:pt>
                <c:pt idx="4">
                  <c:v>Telangana</c:v>
                </c:pt>
              </c:strCache>
            </c:strRef>
          </c:cat>
          <c:val>
            <c:numRef>
              <c:f>'Pivot Table'!$H$4:$H$9</c:f>
              <c:numCache>
                <c:formatCode>General</c:formatCode>
                <c:ptCount val="5"/>
                <c:pt idx="0">
                  <c:v>83.5</c:v>
                </c:pt>
                <c:pt idx="1">
                  <c:v>31.5</c:v>
                </c:pt>
                <c:pt idx="2">
                  <c:v>68.5</c:v>
                </c:pt>
                <c:pt idx="3">
                  <c:v>73</c:v>
                </c:pt>
                <c:pt idx="4">
                  <c:v>72</c:v>
                </c:pt>
              </c:numCache>
            </c:numRef>
          </c:val>
          <c:extLst>
            <c:ext xmlns:c16="http://schemas.microsoft.com/office/drawing/2014/chart" uri="{C3380CC4-5D6E-409C-BE32-E72D297353CC}">
              <c16:uniqueId val="{00000000-3F39-4C15-8009-6313C07A438A}"/>
            </c:ext>
          </c:extLst>
        </c:ser>
        <c:dLbls>
          <c:showLegendKey val="0"/>
          <c:showVal val="1"/>
          <c:showCatName val="0"/>
          <c:showSerName val="0"/>
          <c:showPercent val="0"/>
          <c:showBubbleSize val="0"/>
        </c:dLbls>
        <c:gapWidth val="150"/>
        <c:shape val="box"/>
        <c:axId val="1001260111"/>
        <c:axId val="1001267311"/>
        <c:axId val="596168383"/>
      </c:bar3DChart>
      <c:catAx>
        <c:axId val="100126011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267311"/>
        <c:crosses val="autoZero"/>
        <c:auto val="1"/>
        <c:lblAlgn val="ctr"/>
        <c:lblOffset val="100"/>
        <c:noMultiLvlLbl val="0"/>
      </c:catAx>
      <c:valAx>
        <c:axId val="100126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260111"/>
        <c:crosses val="autoZero"/>
        <c:crossBetween val="between"/>
      </c:valAx>
      <c:serAx>
        <c:axId val="596168383"/>
        <c:scaling>
          <c:orientation val="minMax"/>
        </c:scaling>
        <c:delete val="1"/>
        <c:axPos val="b"/>
        <c:majorTickMark val="out"/>
        <c:minorTickMark val="none"/>
        <c:tickLblPos val="nextTo"/>
        <c:crossAx val="1001267311"/>
        <c:crosses val="autoZero"/>
      </c:ser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 Sales Data.xlsx]Pivot Table!PivotTable12</c:name>
    <c:fmtId val="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Table'!$K$3</c:f>
              <c:strCache>
                <c:ptCount val="1"/>
                <c:pt idx="0">
                  <c:v>Sum of Original Price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Table'!$J$4:$J$9</c:f>
              <c:strCache>
                <c:ptCount val="5"/>
                <c:pt idx="0">
                  <c:v>Apple</c:v>
                </c:pt>
                <c:pt idx="1">
                  <c:v>OPPO</c:v>
                </c:pt>
                <c:pt idx="2">
                  <c:v>RED MI</c:v>
                </c:pt>
                <c:pt idx="3">
                  <c:v>SAMSUNG</c:v>
                </c:pt>
                <c:pt idx="4">
                  <c:v>vivo</c:v>
                </c:pt>
              </c:strCache>
            </c:strRef>
          </c:cat>
          <c:val>
            <c:numRef>
              <c:f>'Pivot Table'!$K$4:$K$9</c:f>
              <c:numCache>
                <c:formatCode>General</c:formatCode>
                <c:ptCount val="5"/>
                <c:pt idx="0">
                  <c:v>661085</c:v>
                </c:pt>
                <c:pt idx="1">
                  <c:v>434872</c:v>
                </c:pt>
                <c:pt idx="2">
                  <c:v>192471</c:v>
                </c:pt>
                <c:pt idx="3">
                  <c:v>471314</c:v>
                </c:pt>
                <c:pt idx="4">
                  <c:v>218975</c:v>
                </c:pt>
              </c:numCache>
            </c:numRef>
          </c:val>
          <c:smooth val="0"/>
          <c:extLst>
            <c:ext xmlns:c16="http://schemas.microsoft.com/office/drawing/2014/chart" uri="{C3380CC4-5D6E-409C-BE32-E72D297353CC}">
              <c16:uniqueId val="{00000000-0BE9-49DE-8D87-CFAA5C69893A}"/>
            </c:ext>
          </c:extLst>
        </c:ser>
        <c:ser>
          <c:idx val="1"/>
          <c:order val="1"/>
          <c:tx>
            <c:strRef>
              <c:f>'Pivot Table'!$L$3</c:f>
              <c:strCache>
                <c:ptCount val="1"/>
                <c:pt idx="0">
                  <c:v>Sum of Selling Price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Table'!$J$4:$J$9</c:f>
              <c:strCache>
                <c:ptCount val="5"/>
                <c:pt idx="0">
                  <c:v>Apple</c:v>
                </c:pt>
                <c:pt idx="1">
                  <c:v>OPPO</c:v>
                </c:pt>
                <c:pt idx="2">
                  <c:v>RED MI</c:v>
                </c:pt>
                <c:pt idx="3">
                  <c:v>SAMSUNG</c:v>
                </c:pt>
                <c:pt idx="4">
                  <c:v>vivo</c:v>
                </c:pt>
              </c:strCache>
            </c:strRef>
          </c:cat>
          <c:val>
            <c:numRef>
              <c:f>'Pivot Table'!$L$4:$L$9</c:f>
              <c:numCache>
                <c:formatCode>General</c:formatCode>
                <c:ptCount val="5"/>
                <c:pt idx="0">
                  <c:v>701639</c:v>
                </c:pt>
                <c:pt idx="1">
                  <c:v>463161</c:v>
                </c:pt>
                <c:pt idx="2">
                  <c:v>202293</c:v>
                </c:pt>
                <c:pt idx="3">
                  <c:v>523769</c:v>
                </c:pt>
                <c:pt idx="4">
                  <c:v>247711</c:v>
                </c:pt>
              </c:numCache>
            </c:numRef>
          </c:val>
          <c:smooth val="0"/>
          <c:extLst>
            <c:ext xmlns:c16="http://schemas.microsoft.com/office/drawing/2014/chart" uri="{C3380CC4-5D6E-409C-BE32-E72D297353CC}">
              <c16:uniqueId val="{00000001-0BE9-49DE-8D87-CFAA5C69893A}"/>
            </c:ext>
          </c:extLst>
        </c:ser>
        <c:dLbls>
          <c:showLegendKey val="0"/>
          <c:showVal val="0"/>
          <c:showCatName val="0"/>
          <c:showSerName val="0"/>
          <c:showPercent val="0"/>
          <c:showBubbleSize val="0"/>
        </c:dLbls>
        <c:marker val="1"/>
        <c:smooth val="0"/>
        <c:axId val="1372706831"/>
        <c:axId val="1372707311"/>
      </c:lineChart>
      <c:catAx>
        <c:axId val="13727068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707311"/>
        <c:crosses val="autoZero"/>
        <c:auto val="1"/>
        <c:lblAlgn val="ctr"/>
        <c:lblOffset val="100"/>
        <c:noMultiLvlLbl val="0"/>
      </c:catAx>
      <c:valAx>
        <c:axId val="137270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70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 Sales Data.xlsx]Pivot Table!PivotTable13</c:name>
    <c:fmtId val="2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Table'!$O$3:$O$4</c:f>
              <c:strCache>
                <c:ptCount val="1"/>
                <c:pt idx="0">
                  <c:v>128 GB</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Table'!$N$5:$N$10</c:f>
              <c:strCache>
                <c:ptCount val="5"/>
                <c:pt idx="0">
                  <c:v>Andhra Pradesh</c:v>
                </c:pt>
                <c:pt idx="1">
                  <c:v>Karnataka</c:v>
                </c:pt>
                <c:pt idx="2">
                  <c:v>Kerala</c:v>
                </c:pt>
                <c:pt idx="3">
                  <c:v>Tamil Nadu</c:v>
                </c:pt>
                <c:pt idx="4">
                  <c:v>Telangana</c:v>
                </c:pt>
              </c:strCache>
            </c:strRef>
          </c:cat>
          <c:val>
            <c:numRef>
              <c:f>'Pivot Table'!$O$5:$O$10</c:f>
              <c:numCache>
                <c:formatCode>General</c:formatCode>
                <c:ptCount val="5"/>
                <c:pt idx="0">
                  <c:v>102100</c:v>
                </c:pt>
                <c:pt idx="1">
                  <c:v>15000</c:v>
                </c:pt>
                <c:pt idx="2">
                  <c:v>104156</c:v>
                </c:pt>
                <c:pt idx="3">
                  <c:v>188849</c:v>
                </c:pt>
                <c:pt idx="4">
                  <c:v>100499</c:v>
                </c:pt>
              </c:numCache>
            </c:numRef>
          </c:val>
          <c:extLst>
            <c:ext xmlns:c16="http://schemas.microsoft.com/office/drawing/2014/chart" uri="{C3380CC4-5D6E-409C-BE32-E72D297353CC}">
              <c16:uniqueId val="{00000000-2741-4AAA-92EB-080BF770F5EA}"/>
            </c:ext>
          </c:extLst>
        </c:ser>
        <c:dLbls>
          <c:showLegendKey val="0"/>
          <c:showVal val="0"/>
          <c:showCatName val="0"/>
          <c:showSerName val="0"/>
          <c:showPercent val="0"/>
          <c:showBubbleSize val="0"/>
        </c:dLbls>
        <c:gapWidth val="219"/>
        <c:overlap val="-27"/>
        <c:axId val="159905904"/>
        <c:axId val="159890544"/>
      </c:barChart>
      <c:barChart>
        <c:barDir val="col"/>
        <c:grouping val="clustered"/>
        <c:varyColors val="0"/>
        <c:ser>
          <c:idx val="1"/>
          <c:order val="1"/>
          <c:tx>
            <c:strRef>
              <c:f>'Pivot Table'!$P$3:$P$4</c:f>
              <c:strCache>
                <c:ptCount val="1"/>
                <c:pt idx="0">
                  <c:v>256 GB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Table'!$N$5:$N$10</c:f>
              <c:strCache>
                <c:ptCount val="5"/>
                <c:pt idx="0">
                  <c:v>Andhra Pradesh</c:v>
                </c:pt>
                <c:pt idx="1">
                  <c:v>Karnataka</c:v>
                </c:pt>
                <c:pt idx="2">
                  <c:v>Kerala</c:v>
                </c:pt>
                <c:pt idx="3">
                  <c:v>Tamil Nadu</c:v>
                </c:pt>
                <c:pt idx="4">
                  <c:v>Telangana</c:v>
                </c:pt>
              </c:strCache>
            </c:strRef>
          </c:cat>
          <c:val>
            <c:numRef>
              <c:f>'Pivot Table'!$P$5:$P$10</c:f>
              <c:numCache>
                <c:formatCode>General</c:formatCode>
                <c:ptCount val="5"/>
                <c:pt idx="0">
                  <c:v>316451</c:v>
                </c:pt>
                <c:pt idx="1">
                  <c:v>322899</c:v>
                </c:pt>
                <c:pt idx="2">
                  <c:v>295599</c:v>
                </c:pt>
                <c:pt idx="4">
                  <c:v>196210</c:v>
                </c:pt>
              </c:numCache>
            </c:numRef>
          </c:val>
          <c:extLst>
            <c:ext xmlns:c16="http://schemas.microsoft.com/office/drawing/2014/chart" uri="{C3380CC4-5D6E-409C-BE32-E72D297353CC}">
              <c16:uniqueId val="{00000001-2741-4AAA-92EB-080BF770F5EA}"/>
            </c:ext>
          </c:extLst>
        </c:ser>
        <c:dLbls>
          <c:showLegendKey val="0"/>
          <c:showVal val="0"/>
          <c:showCatName val="0"/>
          <c:showSerName val="0"/>
          <c:showPercent val="0"/>
          <c:showBubbleSize val="0"/>
        </c:dLbls>
        <c:gapWidth val="219"/>
        <c:overlap val="-27"/>
        <c:axId val="1832371695"/>
        <c:axId val="1832355375"/>
      </c:barChart>
      <c:lineChart>
        <c:grouping val="stacked"/>
        <c:varyColors val="0"/>
        <c:ser>
          <c:idx val="2"/>
          <c:order val="2"/>
          <c:tx>
            <c:strRef>
              <c:f>'Pivot Table'!$Q$3:$Q$4</c:f>
              <c:strCache>
                <c:ptCount val="1"/>
                <c:pt idx="0">
                  <c:v>32 GB</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Table'!$N$5:$N$10</c:f>
              <c:strCache>
                <c:ptCount val="5"/>
                <c:pt idx="0">
                  <c:v>Andhra Pradesh</c:v>
                </c:pt>
                <c:pt idx="1">
                  <c:v>Karnataka</c:v>
                </c:pt>
                <c:pt idx="2">
                  <c:v>Kerala</c:v>
                </c:pt>
                <c:pt idx="3">
                  <c:v>Tamil Nadu</c:v>
                </c:pt>
                <c:pt idx="4">
                  <c:v>Telangana</c:v>
                </c:pt>
              </c:strCache>
            </c:strRef>
          </c:cat>
          <c:val>
            <c:numRef>
              <c:f>'Pivot Table'!$Q$5:$Q$10</c:f>
              <c:numCache>
                <c:formatCode>General</c:formatCode>
                <c:ptCount val="5"/>
                <c:pt idx="0">
                  <c:v>86500</c:v>
                </c:pt>
                <c:pt idx="1">
                  <c:v>12000</c:v>
                </c:pt>
                <c:pt idx="2">
                  <c:v>74395</c:v>
                </c:pt>
                <c:pt idx="3">
                  <c:v>84999</c:v>
                </c:pt>
                <c:pt idx="4">
                  <c:v>92541</c:v>
                </c:pt>
              </c:numCache>
            </c:numRef>
          </c:val>
          <c:smooth val="0"/>
          <c:extLst>
            <c:ext xmlns:c16="http://schemas.microsoft.com/office/drawing/2014/chart" uri="{C3380CC4-5D6E-409C-BE32-E72D297353CC}">
              <c16:uniqueId val="{00000002-2741-4AAA-92EB-080BF770F5EA}"/>
            </c:ext>
          </c:extLst>
        </c:ser>
        <c:ser>
          <c:idx val="3"/>
          <c:order val="3"/>
          <c:tx>
            <c:strRef>
              <c:f>'Pivot Table'!$R$3:$R$4</c:f>
              <c:strCache>
                <c:ptCount val="1"/>
                <c:pt idx="0">
                  <c:v>64 GB</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Table'!$N$5:$N$10</c:f>
              <c:strCache>
                <c:ptCount val="5"/>
                <c:pt idx="0">
                  <c:v>Andhra Pradesh</c:v>
                </c:pt>
                <c:pt idx="1">
                  <c:v>Karnataka</c:v>
                </c:pt>
                <c:pt idx="2">
                  <c:v>Kerala</c:v>
                </c:pt>
                <c:pt idx="3">
                  <c:v>Tamil Nadu</c:v>
                </c:pt>
                <c:pt idx="4">
                  <c:v>Telangana</c:v>
                </c:pt>
              </c:strCache>
            </c:strRef>
          </c:cat>
          <c:val>
            <c:numRef>
              <c:f>'Pivot Table'!$R$5:$R$10</c:f>
              <c:numCache>
                <c:formatCode>General</c:formatCode>
                <c:ptCount val="5"/>
                <c:pt idx="0">
                  <c:v>25666</c:v>
                </c:pt>
                <c:pt idx="1">
                  <c:v>9999</c:v>
                </c:pt>
                <c:pt idx="2">
                  <c:v>32500</c:v>
                </c:pt>
                <c:pt idx="3">
                  <c:v>44210</c:v>
                </c:pt>
                <c:pt idx="4">
                  <c:v>34000</c:v>
                </c:pt>
              </c:numCache>
            </c:numRef>
          </c:val>
          <c:smooth val="0"/>
          <c:extLst>
            <c:ext xmlns:c16="http://schemas.microsoft.com/office/drawing/2014/chart" uri="{C3380CC4-5D6E-409C-BE32-E72D297353CC}">
              <c16:uniqueId val="{00000003-2741-4AAA-92EB-080BF770F5EA}"/>
            </c:ext>
          </c:extLst>
        </c:ser>
        <c:dLbls>
          <c:showLegendKey val="0"/>
          <c:showVal val="0"/>
          <c:showCatName val="0"/>
          <c:showSerName val="0"/>
          <c:showPercent val="0"/>
          <c:showBubbleSize val="0"/>
        </c:dLbls>
        <c:marker val="1"/>
        <c:smooth val="0"/>
        <c:axId val="159905904"/>
        <c:axId val="159890544"/>
      </c:lineChart>
      <c:catAx>
        <c:axId val="1599059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90544"/>
        <c:crosses val="autoZero"/>
        <c:auto val="1"/>
        <c:lblAlgn val="ctr"/>
        <c:lblOffset val="100"/>
        <c:noMultiLvlLbl val="0"/>
      </c:catAx>
      <c:valAx>
        <c:axId val="15989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05904"/>
        <c:crosses val="autoZero"/>
        <c:crossBetween val="between"/>
      </c:valAx>
      <c:valAx>
        <c:axId val="183235537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371695"/>
        <c:crosses val="max"/>
        <c:crossBetween val="between"/>
      </c:valAx>
      <c:catAx>
        <c:axId val="1832371695"/>
        <c:scaling>
          <c:orientation val="minMax"/>
        </c:scaling>
        <c:delete val="1"/>
        <c:axPos val="b"/>
        <c:numFmt formatCode="General" sourceLinked="1"/>
        <c:majorTickMark val="none"/>
        <c:minorTickMark val="none"/>
        <c:tickLblPos val="nextTo"/>
        <c:crossAx val="18323553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228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6.xml"/><Relationship Id="rId12"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0.xml"/><Relationship Id="rId5" Type="http://schemas.openxmlformats.org/officeDocument/2006/relationships/image" Target="../media/image5.png"/><Relationship Id="rId10" Type="http://schemas.openxmlformats.org/officeDocument/2006/relationships/chart" Target="../charts/chart9.xml"/><Relationship Id="rId4" Type="http://schemas.openxmlformats.org/officeDocument/2006/relationships/image" Target="../media/image4.sv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64770</xdr:rowOff>
    </xdr:from>
    <xdr:to>
      <xdr:col>4</xdr:col>
      <xdr:colOff>601980</xdr:colOff>
      <xdr:row>22</xdr:row>
      <xdr:rowOff>30480</xdr:rowOff>
    </xdr:to>
    <xdr:graphicFrame macro="">
      <xdr:nvGraphicFramePr>
        <xdr:cNvPr id="2" name="Chart 1">
          <a:extLst>
            <a:ext uri="{FF2B5EF4-FFF2-40B4-BE49-F238E27FC236}">
              <a16:creationId xmlns:a16="http://schemas.microsoft.com/office/drawing/2014/main" id="{EF8149A7-3540-F851-1A62-ABF697FA82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685800</xdr:colOff>
      <xdr:row>10</xdr:row>
      <xdr:rowOff>57150</xdr:rowOff>
    </xdr:from>
    <xdr:to>
      <xdr:col>9</xdr:col>
      <xdr:colOff>266700</xdr:colOff>
      <xdr:row>22</xdr:row>
      <xdr:rowOff>38100</xdr:rowOff>
    </xdr:to>
    <xdr:graphicFrame macro="">
      <xdr:nvGraphicFramePr>
        <xdr:cNvPr id="3" name="Chart 2">
          <a:extLst>
            <a:ext uri="{FF2B5EF4-FFF2-40B4-BE49-F238E27FC236}">
              <a16:creationId xmlns:a16="http://schemas.microsoft.com/office/drawing/2014/main" id="{A322EFB3-A499-49F2-8AB7-59F132149E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91440</xdr:rowOff>
    </xdr:from>
    <xdr:to>
      <xdr:col>4</xdr:col>
      <xdr:colOff>624840</xdr:colOff>
      <xdr:row>34</xdr:row>
      <xdr:rowOff>38100</xdr:rowOff>
    </xdr:to>
    <xdr:graphicFrame macro="">
      <xdr:nvGraphicFramePr>
        <xdr:cNvPr id="5" name="Chart 4">
          <a:extLst>
            <a:ext uri="{FF2B5EF4-FFF2-40B4-BE49-F238E27FC236}">
              <a16:creationId xmlns:a16="http://schemas.microsoft.com/office/drawing/2014/main" id="{344BEB15-9D9F-3470-A339-C7F3B3654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670560</xdr:colOff>
      <xdr:row>22</xdr:row>
      <xdr:rowOff>49530</xdr:rowOff>
    </xdr:from>
    <xdr:to>
      <xdr:col>9</xdr:col>
      <xdr:colOff>281940</xdr:colOff>
      <xdr:row>34</xdr:row>
      <xdr:rowOff>114300</xdr:rowOff>
    </xdr:to>
    <xdr:graphicFrame macro="">
      <xdr:nvGraphicFramePr>
        <xdr:cNvPr id="6" name="Chart 5">
          <a:extLst>
            <a:ext uri="{FF2B5EF4-FFF2-40B4-BE49-F238E27FC236}">
              <a16:creationId xmlns:a16="http://schemas.microsoft.com/office/drawing/2014/main" id="{1E5ACED5-5CF1-5A4C-AB93-8F6555EAE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502920</xdr:colOff>
      <xdr:row>9</xdr:row>
      <xdr:rowOff>148590</xdr:rowOff>
    </xdr:from>
    <xdr:to>
      <xdr:col>13</xdr:col>
      <xdr:colOff>929640</xdr:colOff>
      <xdr:row>23</xdr:row>
      <xdr:rowOff>38100</xdr:rowOff>
    </xdr:to>
    <xdr:graphicFrame macro="">
      <xdr:nvGraphicFramePr>
        <xdr:cNvPr id="7" name="Chart 6">
          <a:extLst>
            <a:ext uri="{FF2B5EF4-FFF2-40B4-BE49-F238E27FC236}">
              <a16:creationId xmlns:a16="http://schemas.microsoft.com/office/drawing/2014/main" id="{6F14B3BE-4DD0-E359-66EC-2B2A7688D8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289560</xdr:colOff>
      <xdr:row>34</xdr:row>
      <xdr:rowOff>76200</xdr:rowOff>
    </xdr:from>
    <xdr:to>
      <xdr:col>7</xdr:col>
      <xdr:colOff>563880</xdr:colOff>
      <xdr:row>47</xdr:row>
      <xdr:rowOff>165735</xdr:rowOff>
    </xdr:to>
    <mc:AlternateContent xmlns:mc="http://schemas.openxmlformats.org/markup-compatibility/2006" xmlns:a14="http://schemas.microsoft.com/office/drawing/2010/main">
      <mc:Choice Requires="a14">
        <xdr:graphicFrame macro="">
          <xdr:nvGraphicFramePr>
            <xdr:cNvPr id="8" name="Date">
              <a:extLst>
                <a:ext uri="{FF2B5EF4-FFF2-40B4-BE49-F238E27FC236}">
                  <a16:creationId xmlns:a16="http://schemas.microsoft.com/office/drawing/2014/main" id="{CBC9FF00-1BC3-B7E6-6232-334A2AAED02F}"/>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4747260" y="6294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472440</xdr:colOff>
      <xdr:row>34</xdr:row>
      <xdr:rowOff>60960</xdr:rowOff>
    </xdr:from>
    <xdr:to>
      <xdr:col>5</xdr:col>
      <xdr:colOff>228600</xdr:colOff>
      <xdr:row>47</xdr:row>
      <xdr:rowOff>150495</xdr:rowOff>
    </xdr:to>
    <mc:AlternateContent xmlns:mc="http://schemas.openxmlformats.org/markup-compatibility/2006" xmlns:a14="http://schemas.microsoft.com/office/drawing/2010/main">
      <mc:Choice Requires="a14">
        <xdr:graphicFrame macro="">
          <xdr:nvGraphicFramePr>
            <xdr:cNvPr id="9" name="Brands">
              <a:extLst>
                <a:ext uri="{FF2B5EF4-FFF2-40B4-BE49-F238E27FC236}">
                  <a16:creationId xmlns:a16="http://schemas.microsoft.com/office/drawing/2014/main" id="{76DA1707-50FD-B634-B09E-A5617F841BA1}"/>
                </a:ext>
              </a:extLst>
            </xdr:cNvPr>
            <xdr:cNvGraphicFramePr/>
          </xdr:nvGraphicFramePr>
          <xdr:xfrm>
            <a:off x="0" y="0"/>
            <a:ext cx="0" cy="0"/>
          </xdr:xfrm>
          <a:graphic>
            <a:graphicData uri="http://schemas.microsoft.com/office/drawing/2010/slicer">
              <sle:slicer xmlns:sle="http://schemas.microsoft.com/office/drawing/2010/slicer" name="Brands"/>
            </a:graphicData>
          </a:graphic>
        </xdr:graphicFrame>
      </mc:Choice>
      <mc:Fallback xmlns="">
        <xdr:sp macro="" textlink="">
          <xdr:nvSpPr>
            <xdr:cNvPr id="0" name=""/>
            <xdr:cNvSpPr>
              <a:spLocks noTextEdit="1"/>
            </xdr:cNvSpPr>
          </xdr:nvSpPr>
          <xdr:spPr>
            <a:xfrm>
              <a:off x="2857500" y="6278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38100</xdr:colOff>
      <xdr:row>34</xdr:row>
      <xdr:rowOff>45720</xdr:rowOff>
    </xdr:from>
    <xdr:to>
      <xdr:col>3</xdr:col>
      <xdr:colOff>426720</xdr:colOff>
      <xdr:row>47</xdr:row>
      <xdr:rowOff>135255</xdr:rowOff>
    </xdr:to>
    <mc:AlternateContent xmlns:mc="http://schemas.openxmlformats.org/markup-compatibility/2006" xmlns:a14="http://schemas.microsoft.com/office/drawing/2010/main">
      <mc:Choice Requires="a14">
        <xdr:graphicFrame macro="">
          <xdr:nvGraphicFramePr>
            <xdr:cNvPr id="10" name="Storage">
              <a:extLst>
                <a:ext uri="{FF2B5EF4-FFF2-40B4-BE49-F238E27FC236}">
                  <a16:creationId xmlns:a16="http://schemas.microsoft.com/office/drawing/2014/main" id="{C318F381-8E18-CF80-0517-C2453463A793}"/>
                </a:ext>
              </a:extLst>
            </xdr:cNvPr>
            <xdr:cNvGraphicFramePr/>
          </xdr:nvGraphicFramePr>
          <xdr:xfrm>
            <a:off x="0" y="0"/>
            <a:ext cx="0" cy="0"/>
          </xdr:xfrm>
          <a:graphic>
            <a:graphicData uri="http://schemas.microsoft.com/office/drawing/2010/slicer">
              <sle:slicer xmlns:sle="http://schemas.microsoft.com/office/drawing/2010/slicer" name="Storage"/>
            </a:graphicData>
          </a:graphic>
        </xdr:graphicFrame>
      </mc:Choice>
      <mc:Fallback xmlns="">
        <xdr:sp macro="" textlink="">
          <xdr:nvSpPr>
            <xdr:cNvPr id="0" name=""/>
            <xdr:cNvSpPr>
              <a:spLocks noTextEdit="1"/>
            </xdr:cNvSpPr>
          </xdr:nvSpPr>
          <xdr:spPr>
            <a:xfrm>
              <a:off x="982980" y="6263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236220</xdr:colOff>
      <xdr:row>34</xdr:row>
      <xdr:rowOff>99060</xdr:rowOff>
    </xdr:from>
    <xdr:to>
      <xdr:col>11</xdr:col>
      <xdr:colOff>784860</xdr:colOff>
      <xdr:row>48</xdr:row>
      <xdr:rowOff>5715</xdr:rowOff>
    </xdr:to>
    <mc:AlternateContent xmlns:mc="http://schemas.openxmlformats.org/markup-compatibility/2006" xmlns:a14="http://schemas.microsoft.com/office/drawing/2010/main">
      <mc:Choice Requires="a14">
        <xdr:graphicFrame macro="">
          <xdr:nvGraphicFramePr>
            <xdr:cNvPr id="11" name="Location">
              <a:extLst>
                <a:ext uri="{FF2B5EF4-FFF2-40B4-BE49-F238E27FC236}">
                  <a16:creationId xmlns:a16="http://schemas.microsoft.com/office/drawing/2014/main" id="{BFF1D102-ADA7-6A24-2775-1B234260B288}"/>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8595360" y="6316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670560</xdr:colOff>
      <xdr:row>34</xdr:row>
      <xdr:rowOff>83820</xdr:rowOff>
    </xdr:from>
    <xdr:to>
      <xdr:col>10</xdr:col>
      <xdr:colOff>152400</xdr:colOff>
      <xdr:row>47</xdr:row>
      <xdr:rowOff>173355</xdr:rowOff>
    </xdr:to>
    <mc:AlternateContent xmlns:mc="http://schemas.openxmlformats.org/markup-compatibility/2006" xmlns:a14="http://schemas.microsoft.com/office/drawing/2010/main">
      <mc:Choice Requires="a14">
        <xdr:graphicFrame macro="">
          <xdr:nvGraphicFramePr>
            <xdr:cNvPr id="14" name="Rating">
              <a:extLst>
                <a:ext uri="{FF2B5EF4-FFF2-40B4-BE49-F238E27FC236}">
                  <a16:creationId xmlns:a16="http://schemas.microsoft.com/office/drawing/2014/main" id="{46046460-425F-AB1B-E504-1253424DF5C0}"/>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6682740" y="6301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15240</xdr:rowOff>
    </xdr:from>
    <xdr:to>
      <xdr:col>11</xdr:col>
      <xdr:colOff>457200</xdr:colOff>
      <xdr:row>5</xdr:row>
      <xdr:rowOff>30480</xdr:rowOff>
    </xdr:to>
    <xdr:sp macro="" textlink="">
      <xdr:nvSpPr>
        <xdr:cNvPr id="2" name="Rectangle: Rounded Corners 1">
          <a:extLst>
            <a:ext uri="{FF2B5EF4-FFF2-40B4-BE49-F238E27FC236}">
              <a16:creationId xmlns:a16="http://schemas.microsoft.com/office/drawing/2014/main" id="{127510CE-7B84-81E0-56CD-0A05580F20D3}"/>
            </a:ext>
          </a:extLst>
        </xdr:cNvPr>
        <xdr:cNvSpPr/>
      </xdr:nvSpPr>
      <xdr:spPr>
        <a:xfrm>
          <a:off x="0" y="15240"/>
          <a:ext cx="7162800" cy="929640"/>
        </a:xfrm>
        <a:prstGeom prst="roundRect">
          <a:avLst>
            <a:gd name="adj" fmla="val 11882"/>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446339</xdr:colOff>
      <xdr:row>0</xdr:row>
      <xdr:rowOff>15240</xdr:rowOff>
    </xdr:from>
    <xdr:to>
      <xdr:col>16</xdr:col>
      <xdr:colOff>434340</xdr:colOff>
      <xdr:row>5</xdr:row>
      <xdr:rowOff>22860</xdr:rowOff>
    </xdr:to>
    <xdr:grpSp>
      <xdr:nvGrpSpPr>
        <xdr:cNvPr id="5" name="Group 4">
          <a:extLst>
            <a:ext uri="{FF2B5EF4-FFF2-40B4-BE49-F238E27FC236}">
              <a16:creationId xmlns:a16="http://schemas.microsoft.com/office/drawing/2014/main" id="{42070BE7-0DD3-4088-A215-9C6A8BE94D17}"/>
            </a:ext>
          </a:extLst>
        </xdr:cNvPr>
        <xdr:cNvGrpSpPr/>
      </xdr:nvGrpSpPr>
      <xdr:grpSpPr>
        <a:xfrm>
          <a:off x="7151939" y="15240"/>
          <a:ext cx="3036001" cy="896620"/>
          <a:chOff x="-3523" y="1314452"/>
          <a:chExt cx="3299172" cy="1133475"/>
        </a:xfrm>
      </xdr:grpSpPr>
      <xdr:sp macro="" textlink="">
        <xdr:nvSpPr>
          <xdr:cNvPr id="6" name="Rectangle: Rounded Corners 5">
            <a:extLst>
              <a:ext uri="{FF2B5EF4-FFF2-40B4-BE49-F238E27FC236}">
                <a16:creationId xmlns:a16="http://schemas.microsoft.com/office/drawing/2014/main" id="{BA087D79-207B-14D5-2D30-41888B512281}"/>
              </a:ext>
            </a:extLst>
          </xdr:cNvPr>
          <xdr:cNvSpPr/>
        </xdr:nvSpPr>
        <xdr:spPr>
          <a:xfrm>
            <a:off x="-1" y="1323975"/>
            <a:ext cx="3295650" cy="1123950"/>
          </a:xfrm>
          <a:prstGeom prst="roundRect">
            <a:avLst>
              <a:gd name="adj" fmla="val 1293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9AAB6B15-4FEE-F877-2C5C-B0295D32E36C}"/>
              </a:ext>
            </a:extLst>
          </xdr:cNvPr>
          <xdr:cNvSpPr/>
        </xdr:nvSpPr>
        <xdr:spPr>
          <a:xfrm rot="5400000">
            <a:off x="-63052" y="1373981"/>
            <a:ext cx="1133475" cy="1014417"/>
          </a:xfrm>
          <a:prstGeom prst="roundRect">
            <a:avLst>
              <a:gd name="adj" fmla="val 12931"/>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CFCFFEC4-C5C9-CD13-3CBA-193526432915}"/>
              </a:ext>
            </a:extLst>
          </xdr:cNvPr>
          <xdr:cNvSpPr txBox="1"/>
        </xdr:nvSpPr>
        <xdr:spPr>
          <a:xfrm>
            <a:off x="1025912" y="1457324"/>
            <a:ext cx="2249116"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1"/>
                </a:solidFill>
              </a:rPr>
              <a:t>TOTAL SALE</a:t>
            </a:r>
            <a:r>
              <a:rPr lang="en-IN" sz="1400" b="1" baseline="0">
                <a:solidFill>
                  <a:schemeClr val="accent1"/>
                </a:solidFill>
              </a:rPr>
              <a:t>  AMOUNT</a:t>
            </a:r>
            <a:endParaRPr lang="en-IN" sz="1400" b="1">
              <a:solidFill>
                <a:schemeClr val="accent1"/>
              </a:solidFill>
            </a:endParaRPr>
          </a:p>
        </xdr:txBody>
      </xdr:sp>
      <xdr:sp macro="" textlink="'Sales Data'!K3">
        <xdr:nvSpPr>
          <xdr:cNvPr id="9" name="TextBox 8">
            <a:extLst>
              <a:ext uri="{FF2B5EF4-FFF2-40B4-BE49-F238E27FC236}">
                <a16:creationId xmlns:a16="http://schemas.microsoft.com/office/drawing/2014/main" id="{E3F10C0E-65E1-215E-03C2-32A32A839562}"/>
              </a:ext>
            </a:extLst>
          </xdr:cNvPr>
          <xdr:cNvSpPr txBox="1"/>
        </xdr:nvSpPr>
        <xdr:spPr>
          <a:xfrm>
            <a:off x="1025912" y="1800226"/>
            <a:ext cx="2249116"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660BE3A-0042-4498-982F-1116A592E226}" type="TxLink">
              <a:rPr lang="en-US" sz="1600" b="1" i="1" u="none" strike="noStrike">
                <a:solidFill>
                  <a:schemeClr val="accent1"/>
                </a:solidFill>
                <a:latin typeface="Aptos Narrow" panose="020B0004020202020204" pitchFamily="34" charset="0"/>
                <a:ea typeface="Calibri"/>
                <a:cs typeface="Calibri"/>
              </a:rPr>
              <a:pPr algn="ctr"/>
              <a:t>₹ 21,38,573</a:t>
            </a:fld>
            <a:endParaRPr lang="en-IN" sz="2400" b="1" i="1">
              <a:solidFill>
                <a:schemeClr val="accent1"/>
              </a:solidFill>
              <a:latin typeface="Aptos Narrow" panose="020B0004020202020204" pitchFamily="34" charset="0"/>
            </a:endParaRPr>
          </a:p>
        </xdr:txBody>
      </xdr:sp>
    </xdr:grpSp>
    <xdr:clientData/>
  </xdr:twoCellAnchor>
  <xdr:twoCellAnchor>
    <xdr:from>
      <xdr:col>16</xdr:col>
      <xdr:colOff>423479</xdr:colOff>
      <xdr:row>0</xdr:row>
      <xdr:rowOff>15239</xdr:rowOff>
    </xdr:from>
    <xdr:to>
      <xdr:col>21</xdr:col>
      <xdr:colOff>411480</xdr:colOff>
      <xdr:row>5</xdr:row>
      <xdr:rowOff>22859</xdr:rowOff>
    </xdr:to>
    <xdr:grpSp>
      <xdr:nvGrpSpPr>
        <xdr:cNvPr id="10" name="Group 9">
          <a:extLst>
            <a:ext uri="{FF2B5EF4-FFF2-40B4-BE49-F238E27FC236}">
              <a16:creationId xmlns:a16="http://schemas.microsoft.com/office/drawing/2014/main" id="{1FFEF2A4-1D79-C43F-A0AA-F3ACA322F887}"/>
            </a:ext>
          </a:extLst>
        </xdr:cNvPr>
        <xdr:cNvGrpSpPr/>
      </xdr:nvGrpSpPr>
      <xdr:grpSpPr>
        <a:xfrm>
          <a:off x="10177079" y="15239"/>
          <a:ext cx="3036001" cy="896620"/>
          <a:chOff x="-3523" y="1323819"/>
          <a:chExt cx="3299172" cy="1133476"/>
        </a:xfrm>
      </xdr:grpSpPr>
      <xdr:sp macro="" textlink="">
        <xdr:nvSpPr>
          <xdr:cNvPr id="11" name="Rectangle: Rounded Corners 10">
            <a:extLst>
              <a:ext uri="{FF2B5EF4-FFF2-40B4-BE49-F238E27FC236}">
                <a16:creationId xmlns:a16="http://schemas.microsoft.com/office/drawing/2014/main" id="{1ABD2647-D3DA-5776-5943-12BB12F84CBC}"/>
              </a:ext>
            </a:extLst>
          </xdr:cNvPr>
          <xdr:cNvSpPr/>
        </xdr:nvSpPr>
        <xdr:spPr>
          <a:xfrm>
            <a:off x="-1" y="1323975"/>
            <a:ext cx="3295650" cy="1123950"/>
          </a:xfrm>
          <a:prstGeom prst="roundRect">
            <a:avLst>
              <a:gd name="adj" fmla="val 1293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95278068-0FBB-9492-8CC3-FD612CE344D1}"/>
              </a:ext>
            </a:extLst>
          </xdr:cNvPr>
          <xdr:cNvSpPr/>
        </xdr:nvSpPr>
        <xdr:spPr>
          <a:xfrm rot="5400000">
            <a:off x="-63052" y="1383348"/>
            <a:ext cx="1133476" cy="1014417"/>
          </a:xfrm>
          <a:prstGeom prst="roundRect">
            <a:avLst>
              <a:gd name="adj" fmla="val 12931"/>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TextBox 12">
            <a:extLst>
              <a:ext uri="{FF2B5EF4-FFF2-40B4-BE49-F238E27FC236}">
                <a16:creationId xmlns:a16="http://schemas.microsoft.com/office/drawing/2014/main" id="{8A232985-5BE0-4317-0CBA-3C1870C0EE6A}"/>
              </a:ext>
            </a:extLst>
          </xdr:cNvPr>
          <xdr:cNvSpPr txBox="1"/>
        </xdr:nvSpPr>
        <xdr:spPr>
          <a:xfrm>
            <a:off x="1025912" y="1457324"/>
            <a:ext cx="2249116"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1"/>
                </a:solidFill>
              </a:rPr>
              <a:t>TOTAL</a:t>
            </a:r>
            <a:r>
              <a:rPr lang="en-IN" sz="1400" b="1" baseline="0">
                <a:solidFill>
                  <a:schemeClr val="accent1"/>
                </a:solidFill>
              </a:rPr>
              <a:t> PROFIT AMOUNT</a:t>
            </a:r>
            <a:endParaRPr lang="en-IN" sz="1400" b="1">
              <a:solidFill>
                <a:schemeClr val="accent1"/>
              </a:solidFill>
            </a:endParaRPr>
          </a:p>
        </xdr:txBody>
      </xdr:sp>
      <xdr:sp macro="" textlink="'Sales Data'!K6">
        <xdr:nvSpPr>
          <xdr:cNvPr id="14" name="TextBox 13">
            <a:extLst>
              <a:ext uri="{FF2B5EF4-FFF2-40B4-BE49-F238E27FC236}">
                <a16:creationId xmlns:a16="http://schemas.microsoft.com/office/drawing/2014/main" id="{DE43022E-1DA0-A39B-249D-40A3A518C215}"/>
              </a:ext>
            </a:extLst>
          </xdr:cNvPr>
          <xdr:cNvSpPr txBox="1"/>
        </xdr:nvSpPr>
        <xdr:spPr>
          <a:xfrm>
            <a:off x="1025912" y="1800226"/>
            <a:ext cx="2249116"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7EAFD03-0AF4-4BEC-9AF1-BC302FA7CAFA}" type="TxLink">
              <a:rPr lang="en-US" sz="1600" b="1" i="1" u="none" strike="noStrike">
                <a:solidFill>
                  <a:schemeClr val="accent1"/>
                </a:solidFill>
                <a:latin typeface="Aptos Narrow" panose="020B0004020202020204" pitchFamily="34" charset="0"/>
                <a:ea typeface="Calibri"/>
                <a:cs typeface="Calibri"/>
              </a:rPr>
              <a:pPr algn="ctr"/>
              <a:t>₹ 1,59,856</a:t>
            </a:fld>
            <a:endParaRPr lang="en-IN" sz="2400" b="1" i="1">
              <a:solidFill>
                <a:schemeClr val="accent1"/>
              </a:solidFill>
              <a:latin typeface="Aptos Narrow" panose="020B0004020202020204" pitchFamily="34" charset="0"/>
            </a:endParaRPr>
          </a:p>
        </xdr:txBody>
      </xdr:sp>
    </xdr:grpSp>
    <xdr:clientData/>
  </xdr:twoCellAnchor>
  <xdr:twoCellAnchor>
    <xdr:from>
      <xdr:col>16</xdr:col>
      <xdr:colOff>423479</xdr:colOff>
      <xdr:row>5</xdr:row>
      <xdr:rowOff>38099</xdr:rowOff>
    </xdr:from>
    <xdr:to>
      <xdr:col>21</xdr:col>
      <xdr:colOff>411480</xdr:colOff>
      <xdr:row>10</xdr:row>
      <xdr:rowOff>45719</xdr:rowOff>
    </xdr:to>
    <xdr:grpSp>
      <xdr:nvGrpSpPr>
        <xdr:cNvPr id="15" name="Group 14">
          <a:extLst>
            <a:ext uri="{FF2B5EF4-FFF2-40B4-BE49-F238E27FC236}">
              <a16:creationId xmlns:a16="http://schemas.microsoft.com/office/drawing/2014/main" id="{59A0F029-E33E-B54D-ECDD-DCC1A102BF9B}"/>
            </a:ext>
          </a:extLst>
        </xdr:cNvPr>
        <xdr:cNvGrpSpPr/>
      </xdr:nvGrpSpPr>
      <xdr:grpSpPr>
        <a:xfrm>
          <a:off x="10177079" y="927099"/>
          <a:ext cx="3036001" cy="896620"/>
          <a:chOff x="-3523" y="1323819"/>
          <a:chExt cx="3299172" cy="1133476"/>
        </a:xfrm>
      </xdr:grpSpPr>
      <xdr:sp macro="" textlink="">
        <xdr:nvSpPr>
          <xdr:cNvPr id="16" name="Rectangle: Rounded Corners 15">
            <a:extLst>
              <a:ext uri="{FF2B5EF4-FFF2-40B4-BE49-F238E27FC236}">
                <a16:creationId xmlns:a16="http://schemas.microsoft.com/office/drawing/2014/main" id="{8B4D5A5E-9718-C228-0A36-78FB5CA1A7C4}"/>
              </a:ext>
            </a:extLst>
          </xdr:cNvPr>
          <xdr:cNvSpPr/>
        </xdr:nvSpPr>
        <xdr:spPr>
          <a:xfrm>
            <a:off x="-1" y="1323975"/>
            <a:ext cx="3295650" cy="1123950"/>
          </a:xfrm>
          <a:prstGeom prst="roundRect">
            <a:avLst>
              <a:gd name="adj" fmla="val 1293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6F44B1A0-A2D4-383E-2220-5DCF136333CE}"/>
              </a:ext>
            </a:extLst>
          </xdr:cNvPr>
          <xdr:cNvSpPr/>
        </xdr:nvSpPr>
        <xdr:spPr>
          <a:xfrm rot="5400000">
            <a:off x="-63052" y="1383348"/>
            <a:ext cx="1133476" cy="1014417"/>
          </a:xfrm>
          <a:prstGeom prst="roundRect">
            <a:avLst>
              <a:gd name="adj" fmla="val 12931"/>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6B266BD9-E806-662B-78A7-AF7BE20B831C}"/>
              </a:ext>
            </a:extLst>
          </xdr:cNvPr>
          <xdr:cNvSpPr txBox="1"/>
        </xdr:nvSpPr>
        <xdr:spPr>
          <a:xfrm>
            <a:off x="1025912" y="1457324"/>
            <a:ext cx="2249116"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baseline="0">
                <a:solidFill>
                  <a:schemeClr val="accent1"/>
                </a:solidFill>
              </a:rPr>
              <a:t>AVERAGE AMOUNT</a:t>
            </a:r>
            <a:endParaRPr lang="en-IN" sz="1400" b="1">
              <a:solidFill>
                <a:schemeClr val="accent1"/>
              </a:solidFill>
            </a:endParaRPr>
          </a:p>
        </xdr:txBody>
      </xdr:sp>
      <xdr:sp macro="" textlink="'Sales Data'!K9">
        <xdr:nvSpPr>
          <xdr:cNvPr id="19" name="TextBox 18">
            <a:extLst>
              <a:ext uri="{FF2B5EF4-FFF2-40B4-BE49-F238E27FC236}">
                <a16:creationId xmlns:a16="http://schemas.microsoft.com/office/drawing/2014/main" id="{7612266C-0678-379A-BBFD-C99B2D6FA55F}"/>
              </a:ext>
            </a:extLst>
          </xdr:cNvPr>
          <xdr:cNvSpPr txBox="1"/>
        </xdr:nvSpPr>
        <xdr:spPr>
          <a:xfrm>
            <a:off x="1025912" y="1800226"/>
            <a:ext cx="2249116"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675D1CA-D8EA-4C16-848F-BC8471DA260E}" type="TxLink">
              <a:rPr lang="en-US" sz="1600" b="1" i="1" u="none" strike="noStrike">
                <a:solidFill>
                  <a:schemeClr val="accent1"/>
                </a:solidFill>
                <a:latin typeface="Aptos Narrow" panose="020B0004020202020204" pitchFamily="34" charset="0"/>
                <a:ea typeface="Calibri"/>
                <a:cs typeface="Times New Roman" panose="02020603050405020304" pitchFamily="18" charset="0"/>
              </a:rPr>
              <a:pPr algn="ctr"/>
              <a:t>₹ 28,900</a:t>
            </a:fld>
            <a:endParaRPr lang="en-IN" sz="3600" b="1" i="1">
              <a:solidFill>
                <a:schemeClr val="accent1"/>
              </a:solidFill>
              <a:latin typeface="Aptos Narrow" panose="020B0004020202020204" pitchFamily="34" charset="0"/>
              <a:cs typeface="Times New Roman" panose="02020603050405020304" pitchFamily="18" charset="0"/>
            </a:endParaRPr>
          </a:p>
        </xdr:txBody>
      </xdr:sp>
    </xdr:grpSp>
    <xdr:clientData/>
  </xdr:twoCellAnchor>
  <xdr:twoCellAnchor editAs="oneCell">
    <xdr:from>
      <xdr:col>16</xdr:col>
      <xdr:colOff>555365</xdr:colOff>
      <xdr:row>5</xdr:row>
      <xdr:rowOff>131075</xdr:rowOff>
    </xdr:from>
    <xdr:to>
      <xdr:col>18</xdr:col>
      <xdr:colOff>5765</xdr:colOff>
      <xdr:row>9</xdr:row>
      <xdr:rowOff>69155</xdr:rowOff>
    </xdr:to>
    <xdr:pic>
      <xdr:nvPicPr>
        <xdr:cNvPr id="21" name="Graphic 20" descr="Money with solid fill">
          <a:extLst>
            <a:ext uri="{FF2B5EF4-FFF2-40B4-BE49-F238E27FC236}">
              <a16:creationId xmlns:a16="http://schemas.microsoft.com/office/drawing/2014/main" id="{032E293C-E9B5-4E97-D4F7-3C204897F7C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08965" y="1045475"/>
          <a:ext cx="669600" cy="669600"/>
        </a:xfrm>
        <a:prstGeom prst="rect">
          <a:avLst/>
        </a:prstGeom>
        <a:effectLst>
          <a:glow rad="63500">
            <a:schemeClr val="accent3">
              <a:satMod val="175000"/>
              <a:alpha val="40000"/>
            </a:schemeClr>
          </a:glow>
        </a:effectLst>
      </xdr:spPr>
    </xdr:pic>
    <xdr:clientData/>
  </xdr:twoCellAnchor>
  <xdr:twoCellAnchor editAs="oneCell">
    <xdr:from>
      <xdr:col>16</xdr:col>
      <xdr:colOff>545323</xdr:colOff>
      <xdr:row>0</xdr:row>
      <xdr:rowOff>128656</xdr:rowOff>
    </xdr:from>
    <xdr:to>
      <xdr:col>18</xdr:col>
      <xdr:colOff>561</xdr:colOff>
      <xdr:row>4</xdr:row>
      <xdr:rowOff>66736</xdr:rowOff>
    </xdr:to>
    <xdr:pic>
      <xdr:nvPicPr>
        <xdr:cNvPr id="23" name="Graphic 22" descr="Piggy Bank with solid fill">
          <a:extLst>
            <a:ext uri="{FF2B5EF4-FFF2-40B4-BE49-F238E27FC236}">
              <a16:creationId xmlns:a16="http://schemas.microsoft.com/office/drawing/2014/main" id="{63E83046-D857-6E75-3CC0-0E11C650C51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298923" y="128656"/>
          <a:ext cx="669600" cy="669600"/>
        </a:xfrm>
        <a:prstGeom prst="rect">
          <a:avLst/>
        </a:prstGeom>
        <a:effectLst>
          <a:glow rad="63500">
            <a:schemeClr val="accent3">
              <a:satMod val="175000"/>
              <a:alpha val="40000"/>
            </a:schemeClr>
          </a:glow>
        </a:effectLst>
      </xdr:spPr>
    </xdr:pic>
    <xdr:clientData/>
  </xdr:twoCellAnchor>
  <xdr:twoCellAnchor editAs="oneCell">
    <xdr:from>
      <xdr:col>11</xdr:col>
      <xdr:colOff>597184</xdr:colOff>
      <xdr:row>0</xdr:row>
      <xdr:rowOff>147601</xdr:rowOff>
    </xdr:from>
    <xdr:to>
      <xdr:col>13</xdr:col>
      <xdr:colOff>45724</xdr:colOff>
      <xdr:row>4</xdr:row>
      <xdr:rowOff>83821</xdr:rowOff>
    </xdr:to>
    <xdr:pic>
      <xdr:nvPicPr>
        <xdr:cNvPr id="25" name="Graphic 24" descr="Coins with solid fill">
          <a:extLst>
            <a:ext uri="{FF2B5EF4-FFF2-40B4-BE49-F238E27FC236}">
              <a16:creationId xmlns:a16="http://schemas.microsoft.com/office/drawing/2014/main" id="{1C3E0607-4437-EEC2-B9B4-4A023C06006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02784" y="147601"/>
          <a:ext cx="667740" cy="667740"/>
        </a:xfrm>
        <a:prstGeom prst="rect">
          <a:avLst/>
        </a:prstGeom>
        <a:effectLst>
          <a:glow rad="63500">
            <a:schemeClr val="accent3">
              <a:satMod val="175000"/>
              <a:alpha val="40000"/>
            </a:schemeClr>
          </a:glow>
        </a:effectLst>
      </xdr:spPr>
    </xdr:pic>
    <xdr:clientData/>
  </xdr:twoCellAnchor>
  <xdr:twoCellAnchor editAs="oneCell">
    <xdr:from>
      <xdr:col>16</xdr:col>
      <xdr:colOff>453316</xdr:colOff>
      <xdr:row>10</xdr:row>
      <xdr:rowOff>45720</xdr:rowOff>
    </xdr:from>
    <xdr:to>
      <xdr:col>21</xdr:col>
      <xdr:colOff>411480</xdr:colOff>
      <xdr:row>23</xdr:row>
      <xdr:rowOff>48380</xdr:rowOff>
    </xdr:to>
    <mc:AlternateContent xmlns:mc="http://schemas.openxmlformats.org/markup-compatibility/2006" xmlns:a14="http://schemas.microsoft.com/office/drawing/2010/main">
      <mc:Choice Requires="a14">
        <xdr:graphicFrame macro="">
          <xdr:nvGraphicFramePr>
            <xdr:cNvPr id="26" name="Date 1">
              <a:extLst>
                <a:ext uri="{FF2B5EF4-FFF2-40B4-BE49-F238E27FC236}">
                  <a16:creationId xmlns:a16="http://schemas.microsoft.com/office/drawing/2014/main" id="{46265D94-F4F3-4EE2-940F-21CD5754D0EF}"/>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10206916" y="1874521"/>
              <a:ext cx="3006164" cy="1653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5</xdr:row>
      <xdr:rowOff>60960</xdr:rowOff>
    </xdr:from>
    <xdr:to>
      <xdr:col>3</xdr:col>
      <xdr:colOff>0</xdr:colOff>
      <xdr:row>15</xdr:row>
      <xdr:rowOff>7621</xdr:rowOff>
    </xdr:to>
    <mc:AlternateContent xmlns:mc="http://schemas.openxmlformats.org/markup-compatibility/2006" xmlns:a14="http://schemas.microsoft.com/office/drawing/2010/main">
      <mc:Choice Requires="a14">
        <xdr:graphicFrame macro="">
          <xdr:nvGraphicFramePr>
            <xdr:cNvPr id="27" name="Location 1">
              <a:extLst>
                <a:ext uri="{FF2B5EF4-FFF2-40B4-BE49-F238E27FC236}">
                  <a16:creationId xmlns:a16="http://schemas.microsoft.com/office/drawing/2014/main" id="{142E8342-0096-42ED-8006-B7E75CBCF6DD}"/>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30480" y="990601"/>
              <a:ext cx="1798320" cy="1760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22860</xdr:colOff>
      <xdr:row>5</xdr:row>
      <xdr:rowOff>53340</xdr:rowOff>
    </xdr:from>
    <xdr:to>
      <xdr:col>9</xdr:col>
      <xdr:colOff>472440</xdr:colOff>
      <xdr:row>14</xdr:row>
      <xdr:rowOff>45720</xdr:rowOff>
    </xdr:to>
    <xdr:sp macro="" textlink="">
      <xdr:nvSpPr>
        <xdr:cNvPr id="30" name="Rectangle: Rounded Corners 29">
          <a:extLst>
            <a:ext uri="{FF2B5EF4-FFF2-40B4-BE49-F238E27FC236}">
              <a16:creationId xmlns:a16="http://schemas.microsoft.com/office/drawing/2014/main" id="{09E71D26-0EE1-42AE-A615-77B00E603A72}"/>
            </a:ext>
          </a:extLst>
        </xdr:cNvPr>
        <xdr:cNvSpPr/>
      </xdr:nvSpPr>
      <xdr:spPr>
        <a:xfrm>
          <a:off x="1851660" y="967740"/>
          <a:ext cx="4107180" cy="1638300"/>
        </a:xfrm>
        <a:prstGeom prst="roundRect">
          <a:avLst>
            <a:gd name="adj" fmla="val 11882"/>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i="0">
              <a:solidFill>
                <a:schemeClr val="accent5"/>
              </a:solidFill>
            </a:rPr>
            <a:t>LOCATION</a:t>
          </a:r>
        </a:p>
      </xdr:txBody>
    </xdr:sp>
    <xdr:clientData/>
  </xdr:twoCellAnchor>
  <xdr:twoCellAnchor>
    <xdr:from>
      <xdr:col>3</xdr:col>
      <xdr:colOff>213360</xdr:colOff>
      <xdr:row>5</xdr:row>
      <xdr:rowOff>91440</xdr:rowOff>
    </xdr:from>
    <xdr:to>
      <xdr:col>8</xdr:col>
      <xdr:colOff>571500</xdr:colOff>
      <xdr:row>14</xdr:row>
      <xdr:rowOff>0</xdr:rowOff>
    </xdr:to>
    <xdr:graphicFrame macro="">
      <xdr:nvGraphicFramePr>
        <xdr:cNvPr id="29" name="Chart 28">
          <a:extLst>
            <a:ext uri="{FF2B5EF4-FFF2-40B4-BE49-F238E27FC236}">
              <a16:creationId xmlns:a16="http://schemas.microsoft.com/office/drawing/2014/main" id="{62C1A673-3BB2-42E1-B1E0-ED7404980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22860</xdr:colOff>
      <xdr:row>15</xdr:row>
      <xdr:rowOff>30481</xdr:rowOff>
    </xdr:from>
    <xdr:to>
      <xdr:col>2</xdr:col>
      <xdr:colOff>603660</xdr:colOff>
      <xdr:row>29</xdr:row>
      <xdr:rowOff>0</xdr:rowOff>
    </xdr:to>
    <mc:AlternateContent xmlns:mc="http://schemas.openxmlformats.org/markup-compatibility/2006" xmlns:a14="http://schemas.microsoft.com/office/drawing/2010/main">
      <mc:Choice Requires="a14">
        <xdr:graphicFrame macro="">
          <xdr:nvGraphicFramePr>
            <xdr:cNvPr id="31" name="Brands 1">
              <a:extLst>
                <a:ext uri="{FF2B5EF4-FFF2-40B4-BE49-F238E27FC236}">
                  <a16:creationId xmlns:a16="http://schemas.microsoft.com/office/drawing/2014/main" id="{BEAC6830-985C-4165-BBF1-93587ECC8638}"/>
                </a:ext>
              </a:extLst>
            </xdr:cNvPr>
            <xdr:cNvGraphicFramePr/>
          </xdr:nvGraphicFramePr>
          <xdr:xfrm>
            <a:off x="0" y="0"/>
            <a:ext cx="0" cy="0"/>
          </xdr:xfrm>
          <a:graphic>
            <a:graphicData uri="http://schemas.microsoft.com/office/drawing/2010/slicer">
              <sle:slicer xmlns:sle="http://schemas.microsoft.com/office/drawing/2010/slicer" name="Brands 1"/>
            </a:graphicData>
          </a:graphic>
        </xdr:graphicFrame>
      </mc:Choice>
      <mc:Fallback xmlns="">
        <xdr:sp macro="" textlink="">
          <xdr:nvSpPr>
            <xdr:cNvPr id="0" name=""/>
            <xdr:cNvSpPr>
              <a:spLocks noTextEdit="1"/>
            </xdr:cNvSpPr>
          </xdr:nvSpPr>
          <xdr:spPr>
            <a:xfrm>
              <a:off x="22860" y="2773681"/>
              <a:ext cx="1800000" cy="1760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502920</xdr:colOff>
      <xdr:row>5</xdr:row>
      <xdr:rowOff>53340</xdr:rowOff>
    </xdr:from>
    <xdr:to>
      <xdr:col>16</xdr:col>
      <xdr:colOff>396240</xdr:colOff>
      <xdr:row>14</xdr:row>
      <xdr:rowOff>45720</xdr:rowOff>
    </xdr:to>
    <xdr:sp macro="" textlink="">
      <xdr:nvSpPr>
        <xdr:cNvPr id="32" name="Rectangle: Rounded Corners 31">
          <a:extLst>
            <a:ext uri="{FF2B5EF4-FFF2-40B4-BE49-F238E27FC236}">
              <a16:creationId xmlns:a16="http://schemas.microsoft.com/office/drawing/2014/main" id="{9A2D5F2A-0895-75D4-FFF7-027A56F819F9}"/>
            </a:ext>
          </a:extLst>
        </xdr:cNvPr>
        <xdr:cNvSpPr/>
      </xdr:nvSpPr>
      <xdr:spPr>
        <a:xfrm>
          <a:off x="5989320" y="967740"/>
          <a:ext cx="4160520" cy="1638300"/>
        </a:xfrm>
        <a:prstGeom prst="roundRect">
          <a:avLst>
            <a:gd name="adj" fmla="val 11882"/>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i="0">
              <a:solidFill>
                <a:schemeClr val="accent5"/>
              </a:solidFill>
            </a:rPr>
            <a:t>BRANDS</a:t>
          </a:r>
        </a:p>
      </xdr:txBody>
    </xdr:sp>
    <xdr:clientData/>
  </xdr:twoCellAnchor>
  <xdr:twoCellAnchor>
    <xdr:from>
      <xdr:col>10</xdr:col>
      <xdr:colOff>198120</xdr:colOff>
      <xdr:row>5</xdr:row>
      <xdr:rowOff>175260</xdr:rowOff>
    </xdr:from>
    <xdr:to>
      <xdr:col>16</xdr:col>
      <xdr:colOff>236220</xdr:colOff>
      <xdr:row>13</xdr:row>
      <xdr:rowOff>167640</xdr:rowOff>
    </xdr:to>
    <xdr:graphicFrame macro="">
      <xdr:nvGraphicFramePr>
        <xdr:cNvPr id="33" name="Chart 32">
          <a:extLst>
            <a:ext uri="{FF2B5EF4-FFF2-40B4-BE49-F238E27FC236}">
              <a16:creationId xmlns:a16="http://schemas.microsoft.com/office/drawing/2014/main" id="{FCC99A08-7936-41F0-82BE-DD405C4D5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30480</xdr:colOff>
      <xdr:row>14</xdr:row>
      <xdr:rowOff>60960</xdr:rowOff>
    </xdr:from>
    <xdr:to>
      <xdr:col>9</xdr:col>
      <xdr:colOff>487680</xdr:colOff>
      <xdr:row>24</xdr:row>
      <xdr:rowOff>167640</xdr:rowOff>
    </xdr:to>
    <xdr:sp macro="" textlink="">
      <xdr:nvSpPr>
        <xdr:cNvPr id="35" name="Rectangle: Rounded Corners 34">
          <a:extLst>
            <a:ext uri="{FF2B5EF4-FFF2-40B4-BE49-F238E27FC236}">
              <a16:creationId xmlns:a16="http://schemas.microsoft.com/office/drawing/2014/main" id="{51C82D8F-7F1E-6EBF-FE1C-3973CC7F2EF9}"/>
            </a:ext>
          </a:extLst>
        </xdr:cNvPr>
        <xdr:cNvSpPr/>
      </xdr:nvSpPr>
      <xdr:spPr>
        <a:xfrm>
          <a:off x="1859280" y="2621280"/>
          <a:ext cx="4114800" cy="1935480"/>
        </a:xfrm>
        <a:prstGeom prst="roundRect">
          <a:avLst>
            <a:gd name="adj" fmla="val 11882"/>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i="0">
              <a:solidFill>
                <a:schemeClr val="accent5"/>
              </a:solidFill>
            </a:rPr>
            <a:t>State</a:t>
          </a:r>
          <a:r>
            <a:rPr lang="en-IN" sz="1050" b="1" i="0" baseline="0">
              <a:solidFill>
                <a:schemeClr val="accent5"/>
              </a:solidFill>
            </a:rPr>
            <a:t> Wise Ratings</a:t>
          </a:r>
          <a:endParaRPr lang="en-IN" sz="1050" b="1" i="0">
            <a:solidFill>
              <a:schemeClr val="accent5"/>
            </a:solidFill>
          </a:endParaRPr>
        </a:p>
      </xdr:txBody>
    </xdr:sp>
    <xdr:clientData/>
  </xdr:twoCellAnchor>
  <xdr:twoCellAnchor>
    <xdr:from>
      <xdr:col>3</xdr:col>
      <xdr:colOff>365760</xdr:colOff>
      <xdr:row>13</xdr:row>
      <xdr:rowOff>68580</xdr:rowOff>
    </xdr:from>
    <xdr:to>
      <xdr:col>9</xdr:col>
      <xdr:colOff>579120</xdr:colOff>
      <xdr:row>25</xdr:row>
      <xdr:rowOff>15240</xdr:rowOff>
    </xdr:to>
    <xdr:graphicFrame macro="">
      <xdr:nvGraphicFramePr>
        <xdr:cNvPr id="34" name="Chart 33">
          <a:extLst>
            <a:ext uri="{FF2B5EF4-FFF2-40B4-BE49-F238E27FC236}">
              <a16:creationId xmlns:a16="http://schemas.microsoft.com/office/drawing/2014/main" id="{71659235-5B41-4E60-9D20-A8A7F2DED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22860</xdr:colOff>
      <xdr:row>29</xdr:row>
      <xdr:rowOff>96761</xdr:rowOff>
    </xdr:from>
    <xdr:to>
      <xdr:col>2</xdr:col>
      <xdr:colOff>601980</xdr:colOff>
      <xdr:row>41</xdr:row>
      <xdr:rowOff>36286</xdr:rowOff>
    </xdr:to>
    <mc:AlternateContent xmlns:mc="http://schemas.openxmlformats.org/markup-compatibility/2006" xmlns:a14="http://schemas.microsoft.com/office/drawing/2010/main">
      <mc:Choice Requires="a14">
        <xdr:graphicFrame macro="">
          <xdr:nvGraphicFramePr>
            <xdr:cNvPr id="37" name="Storage 1">
              <a:extLst>
                <a:ext uri="{FF2B5EF4-FFF2-40B4-BE49-F238E27FC236}">
                  <a16:creationId xmlns:a16="http://schemas.microsoft.com/office/drawing/2014/main" id="{2B571A29-0D56-4B5D-B617-4F445FC032BD}"/>
                </a:ext>
              </a:extLst>
            </xdr:cNvPr>
            <xdr:cNvGraphicFramePr/>
          </xdr:nvGraphicFramePr>
          <xdr:xfrm>
            <a:off x="0" y="0"/>
            <a:ext cx="0" cy="0"/>
          </xdr:xfrm>
          <a:graphic>
            <a:graphicData uri="http://schemas.microsoft.com/office/drawing/2010/slicer">
              <sle:slicer xmlns:sle="http://schemas.microsoft.com/office/drawing/2010/slicer" name="Storage 1"/>
            </a:graphicData>
          </a:graphic>
        </xdr:graphicFrame>
      </mc:Choice>
      <mc:Fallback xmlns="">
        <xdr:sp macro="" textlink="">
          <xdr:nvSpPr>
            <xdr:cNvPr id="0" name=""/>
            <xdr:cNvSpPr>
              <a:spLocks noTextEdit="1"/>
            </xdr:cNvSpPr>
          </xdr:nvSpPr>
          <xdr:spPr>
            <a:xfrm>
              <a:off x="22860" y="4556760"/>
              <a:ext cx="179832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518160</xdr:colOff>
      <xdr:row>14</xdr:row>
      <xdr:rowOff>76200</xdr:rowOff>
    </xdr:from>
    <xdr:to>
      <xdr:col>16</xdr:col>
      <xdr:colOff>403860</xdr:colOff>
      <xdr:row>24</xdr:row>
      <xdr:rowOff>175260</xdr:rowOff>
    </xdr:to>
    <xdr:sp macro="" textlink="">
      <xdr:nvSpPr>
        <xdr:cNvPr id="38" name="Rectangle: Rounded Corners 37">
          <a:extLst>
            <a:ext uri="{FF2B5EF4-FFF2-40B4-BE49-F238E27FC236}">
              <a16:creationId xmlns:a16="http://schemas.microsoft.com/office/drawing/2014/main" id="{F4297146-CFF3-0CA1-9CB3-067993B6D98A}"/>
            </a:ext>
          </a:extLst>
        </xdr:cNvPr>
        <xdr:cNvSpPr/>
      </xdr:nvSpPr>
      <xdr:spPr>
        <a:xfrm>
          <a:off x="6004560" y="2636520"/>
          <a:ext cx="4152900" cy="1927860"/>
        </a:xfrm>
        <a:prstGeom prst="roundRect">
          <a:avLst>
            <a:gd name="adj" fmla="val 11882"/>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i="0">
              <a:solidFill>
                <a:schemeClr val="accent5"/>
              </a:solidFill>
            </a:rPr>
            <a:t>Selling</a:t>
          </a:r>
          <a:r>
            <a:rPr lang="en-IN" sz="1050" b="1" i="0" baseline="0">
              <a:solidFill>
                <a:schemeClr val="accent5"/>
              </a:solidFill>
            </a:rPr>
            <a:t> Price  and Original Price</a:t>
          </a:r>
          <a:endParaRPr lang="en-IN" sz="1050" b="1" i="0">
            <a:solidFill>
              <a:schemeClr val="accent5"/>
            </a:solidFill>
          </a:endParaRPr>
        </a:p>
      </xdr:txBody>
    </xdr:sp>
    <xdr:clientData/>
  </xdr:twoCellAnchor>
  <xdr:twoCellAnchor>
    <xdr:from>
      <xdr:col>10</xdr:col>
      <xdr:colOff>190500</xdr:colOff>
      <xdr:row>15</xdr:row>
      <xdr:rowOff>160020</xdr:rowOff>
    </xdr:from>
    <xdr:to>
      <xdr:col>16</xdr:col>
      <xdr:colOff>396240</xdr:colOff>
      <xdr:row>25</xdr:row>
      <xdr:rowOff>15240</xdr:rowOff>
    </xdr:to>
    <xdr:graphicFrame macro="">
      <xdr:nvGraphicFramePr>
        <xdr:cNvPr id="39" name="Chart 38">
          <a:extLst>
            <a:ext uri="{FF2B5EF4-FFF2-40B4-BE49-F238E27FC236}">
              <a16:creationId xmlns:a16="http://schemas.microsoft.com/office/drawing/2014/main" id="{96FD1423-0EEB-43CE-A5B8-1B7C48538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76200</xdr:colOff>
      <xdr:row>25</xdr:row>
      <xdr:rowOff>22860</xdr:rowOff>
    </xdr:from>
    <xdr:to>
      <xdr:col>16</xdr:col>
      <xdr:colOff>426720</xdr:colOff>
      <xdr:row>41</xdr:row>
      <xdr:rowOff>22860</xdr:rowOff>
    </xdr:to>
    <xdr:sp macro="" textlink="">
      <xdr:nvSpPr>
        <xdr:cNvPr id="41" name="Rectangle: Rounded Corners 40">
          <a:extLst>
            <a:ext uri="{FF2B5EF4-FFF2-40B4-BE49-F238E27FC236}">
              <a16:creationId xmlns:a16="http://schemas.microsoft.com/office/drawing/2014/main" id="{8DE1FA13-33F1-AD4E-9748-8913AA0C3DF9}"/>
            </a:ext>
          </a:extLst>
        </xdr:cNvPr>
        <xdr:cNvSpPr/>
      </xdr:nvSpPr>
      <xdr:spPr>
        <a:xfrm>
          <a:off x="1905000" y="4594860"/>
          <a:ext cx="8275320" cy="2926080"/>
        </a:xfrm>
        <a:prstGeom prst="roundRect">
          <a:avLst>
            <a:gd name="adj" fmla="val 11882"/>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i="0">
              <a:solidFill>
                <a:schemeClr val="accent5"/>
              </a:solidFill>
            </a:rPr>
            <a:t>Selling</a:t>
          </a:r>
          <a:r>
            <a:rPr lang="en-IN" sz="1050" b="1" i="0" baseline="0">
              <a:solidFill>
                <a:schemeClr val="accent5"/>
              </a:solidFill>
            </a:rPr>
            <a:t> Price  and Original Price</a:t>
          </a:r>
          <a:endParaRPr lang="en-IN" sz="1050" b="1" i="0">
            <a:solidFill>
              <a:schemeClr val="accent5"/>
            </a:solidFill>
          </a:endParaRPr>
        </a:p>
      </xdr:txBody>
    </xdr:sp>
    <xdr:clientData/>
  </xdr:twoCellAnchor>
  <xdr:twoCellAnchor>
    <xdr:from>
      <xdr:col>3</xdr:col>
      <xdr:colOff>320040</xdr:colOff>
      <xdr:row>27</xdr:row>
      <xdr:rowOff>45720</xdr:rowOff>
    </xdr:from>
    <xdr:to>
      <xdr:col>16</xdr:col>
      <xdr:colOff>259080</xdr:colOff>
      <xdr:row>40</xdr:row>
      <xdr:rowOff>118110</xdr:rowOff>
    </xdr:to>
    <xdr:graphicFrame macro="">
      <xdr:nvGraphicFramePr>
        <xdr:cNvPr id="40" name="Chart 39">
          <a:extLst>
            <a:ext uri="{FF2B5EF4-FFF2-40B4-BE49-F238E27FC236}">
              <a16:creationId xmlns:a16="http://schemas.microsoft.com/office/drawing/2014/main" id="{2040C40A-93B7-49D7-8473-A2791CFAC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16</xdr:col>
      <xdr:colOff>461675</xdr:colOff>
      <xdr:row>23</xdr:row>
      <xdr:rowOff>92770</xdr:rowOff>
    </xdr:from>
    <xdr:to>
      <xdr:col>21</xdr:col>
      <xdr:colOff>429125</xdr:colOff>
      <xdr:row>41</xdr:row>
      <xdr:rowOff>24191</xdr:rowOff>
    </xdr:to>
    <mc:AlternateContent xmlns:mc="http://schemas.openxmlformats.org/markup-compatibility/2006" xmlns:a14="http://schemas.microsoft.com/office/drawing/2010/main">
      <mc:Choice Requires="a14">
        <xdr:graphicFrame macro="">
          <xdr:nvGraphicFramePr>
            <xdr:cNvPr id="42" name="Rating 1">
              <a:extLst>
                <a:ext uri="{FF2B5EF4-FFF2-40B4-BE49-F238E27FC236}">
                  <a16:creationId xmlns:a16="http://schemas.microsoft.com/office/drawing/2014/main" id="{BCBB4C85-179E-44CB-B794-C0964B3AAA7D}"/>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10137865" y="4265627"/>
              <a:ext cx="2991260" cy="31971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487680</xdr:colOff>
      <xdr:row>1</xdr:row>
      <xdr:rowOff>91440</xdr:rowOff>
    </xdr:from>
    <xdr:to>
      <xdr:col>10</xdr:col>
      <xdr:colOff>182880</xdr:colOff>
      <xdr:row>4</xdr:row>
      <xdr:rowOff>30480</xdr:rowOff>
    </xdr:to>
    <xdr:sp macro="" textlink="">
      <xdr:nvSpPr>
        <xdr:cNvPr id="3" name="TextBox 2">
          <a:extLst>
            <a:ext uri="{FF2B5EF4-FFF2-40B4-BE49-F238E27FC236}">
              <a16:creationId xmlns:a16="http://schemas.microsoft.com/office/drawing/2014/main" id="{9262A1AA-0721-10AE-ADB8-63946C8D5E41}"/>
            </a:ext>
          </a:extLst>
        </xdr:cNvPr>
        <xdr:cNvSpPr txBox="1"/>
      </xdr:nvSpPr>
      <xdr:spPr>
        <a:xfrm>
          <a:off x="487680" y="274320"/>
          <a:ext cx="579120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3200" b="1" i="0">
              <a:solidFill>
                <a:srgbClr val="0070C0"/>
              </a:solidFill>
              <a:effectLst>
                <a:outerShdw blurRad="50800" dist="38100" dir="2700000" algn="tl" rotWithShape="0">
                  <a:prstClr val="black">
                    <a:alpha val="40000"/>
                  </a:prstClr>
                </a:outerShdw>
              </a:effectLst>
              <a:latin typeface="Aptos" panose="020B0004020202020204" pitchFamily="34" charset="0"/>
            </a:rPr>
            <a:t>SMARTPHONE</a:t>
          </a:r>
          <a:r>
            <a:rPr lang="en-IN" sz="2800" b="1" i="0" baseline="0">
              <a:solidFill>
                <a:srgbClr val="0070C0"/>
              </a:solidFill>
              <a:effectLst>
                <a:outerShdw blurRad="50800" dist="38100" dir="2700000" algn="tl" rotWithShape="0">
                  <a:prstClr val="black">
                    <a:alpha val="40000"/>
                  </a:prstClr>
                </a:outerShdw>
              </a:effectLst>
              <a:latin typeface="Aptos" panose="020B0004020202020204" pitchFamily="34" charset="0"/>
            </a:rPr>
            <a:t> </a:t>
          </a:r>
          <a:r>
            <a:rPr lang="en-IN" sz="3200" b="1" i="0" baseline="0">
              <a:solidFill>
                <a:srgbClr val="0070C0"/>
              </a:solidFill>
              <a:effectLst>
                <a:outerShdw blurRad="50800" dist="38100" dir="2700000" algn="tl" rotWithShape="0">
                  <a:prstClr val="black">
                    <a:alpha val="40000"/>
                  </a:prstClr>
                </a:outerShdw>
              </a:effectLst>
              <a:latin typeface="Aptos" panose="020B0004020202020204" pitchFamily="34" charset="0"/>
            </a:rPr>
            <a:t>SALESDATA</a:t>
          </a:r>
          <a:endParaRPr lang="en-IN" sz="2800" b="1" i="0">
            <a:solidFill>
              <a:srgbClr val="0070C0"/>
            </a:solidFill>
            <a:effectLst>
              <a:outerShdw blurRad="50800" dist="38100" dir="2700000" algn="tl" rotWithShape="0">
                <a:prstClr val="black">
                  <a:alpha val="40000"/>
                </a:prstClr>
              </a:outerShdw>
            </a:effectLst>
            <a:latin typeface="Aptos" panose="020B0004020202020204" pitchFamily="34" charset="0"/>
          </a:endParaRPr>
        </a:p>
      </xdr:txBody>
    </xdr:sp>
    <xdr:clientData/>
  </xdr:twoCellAnchor>
  <xdr:twoCellAnchor editAs="oneCell">
    <xdr:from>
      <xdr:col>0</xdr:col>
      <xdr:colOff>374953</xdr:colOff>
      <xdr:row>1</xdr:row>
      <xdr:rowOff>108857</xdr:rowOff>
    </xdr:from>
    <xdr:to>
      <xdr:col>2</xdr:col>
      <xdr:colOff>60477</xdr:colOff>
      <xdr:row>4</xdr:row>
      <xdr:rowOff>146353</xdr:rowOff>
    </xdr:to>
    <xdr:pic>
      <xdr:nvPicPr>
        <xdr:cNvPr id="24" name="Picture 23">
          <a:extLst>
            <a:ext uri="{FF2B5EF4-FFF2-40B4-BE49-F238E27FC236}">
              <a16:creationId xmlns:a16="http://schemas.microsoft.com/office/drawing/2014/main" id="{0919A473-D78A-B237-A86B-C1DFC0503D5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74953" y="290286"/>
          <a:ext cx="895048" cy="58178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ESHSHANMUGARAJ" refreshedDate="45870.023669444447" createdVersion="8" refreshedVersion="8" minRefreshableVersion="3" recordCount="74" xr:uid="{8EED7972-5E9C-4C4F-9FB3-BF0234EF9B35}">
  <cacheSource type="worksheet">
    <worksheetSource name="Table1"/>
  </cacheSource>
  <cacheFields count="9">
    <cacheField name="Date" numFmtId="0">
      <sharedItems containsSemiMixedTypes="0" containsString="0" containsNumber="1" containsInteger="1" minValue="2022" maxValue="2025" count="4">
        <n v="2023"/>
        <n v="2022"/>
        <n v="2024"/>
        <n v="2025"/>
      </sharedItems>
    </cacheField>
    <cacheField name="Brands" numFmtId="0">
      <sharedItems count="5">
        <s v="SAMSUNG"/>
        <s v="OPPO"/>
        <s v="Apple"/>
        <s v="RED MI"/>
        <s v="vivo"/>
      </sharedItems>
    </cacheField>
    <cacheField name="Memory" numFmtId="0">
      <sharedItems count="4">
        <s v="8 GB"/>
        <s v="4 GB"/>
        <s v="16 GB"/>
        <s v="6 GB"/>
      </sharedItems>
    </cacheField>
    <cacheField name="Storage" numFmtId="0">
      <sharedItems count="4">
        <s v="128 GB"/>
        <s v="64 GB"/>
        <s v="256 GB"/>
        <s v="32 GB"/>
      </sharedItems>
    </cacheField>
    <cacheField name="Location" numFmtId="0">
      <sharedItems count="5">
        <s v="Tamil Nadu"/>
        <s v="Kerala"/>
        <s v="Karnataka"/>
        <s v="Telangana"/>
        <s v="Andhra Pradesh"/>
      </sharedItems>
    </cacheField>
    <cacheField name="Rating" numFmtId="0">
      <sharedItems containsSemiMixedTypes="0" containsString="0" containsNumber="1" minValue="3.5" maxValue="5" count="4">
        <n v="5"/>
        <n v="3.5"/>
        <n v="4"/>
        <n v="4.5"/>
      </sharedItems>
    </cacheField>
    <cacheField name="Selling Price" numFmtId="0">
      <sharedItems containsSemiMixedTypes="0" containsString="0" containsNumber="1" containsInteger="1" minValue="2800" maxValue="99900" count="60">
        <n v="23000"/>
        <n v="11000"/>
        <n v="9999"/>
        <n v="14999"/>
        <n v="52222"/>
        <n v="4512"/>
        <n v="99110"/>
        <n v="54999"/>
        <n v="22000"/>
        <n v="25000"/>
        <n v="13000"/>
        <n v="84000"/>
        <n v="15000"/>
        <n v="38000"/>
        <n v="39990"/>
        <n v="99900"/>
        <n v="12000"/>
        <n v="9000"/>
        <n v="5000"/>
        <n v="28000"/>
        <n v="21000"/>
        <n v="7500"/>
        <n v="9500"/>
        <n v="22500"/>
        <n v="51000"/>
        <n v="53000"/>
        <n v="2800"/>
        <n v="38495"/>
        <n v="32500"/>
        <n v="33500"/>
        <n v="13500"/>
        <n v="72000"/>
        <n v="8000"/>
        <n v="22550"/>
        <n v="12500"/>
        <n v="36000"/>
        <n v="23900"/>
        <n v="64900"/>
        <n v="16999"/>
        <n v="42999"/>
        <n v="40999"/>
        <n v="25999"/>
        <n v="66999"/>
        <n v="8999"/>
        <n v="39456"/>
        <n v="39258"/>
        <n v="74100"/>
        <n v="8520"/>
        <n v="62500"/>
        <n v="10200"/>
        <n v="12999"/>
        <n v="38800"/>
        <n v="36522"/>
        <n v="18333"/>
        <n v="15999"/>
        <n v="16953"/>
        <n v="17666"/>
        <n v="39000"/>
        <n v="25900"/>
        <n v="27999"/>
      </sharedItems>
    </cacheField>
    <cacheField name="Original Price" numFmtId="0">
      <sharedItems containsSemiMixedTypes="0" containsString="0" containsNumber="1" containsInteger="1" minValue="2399" maxValue="99900" count="58">
        <n v="20999"/>
        <n v="10199"/>
        <n v="7999"/>
        <n v="14999"/>
        <n v="49900"/>
        <n v="3299"/>
        <n v="88199"/>
        <n v="47900"/>
        <n v="20400"/>
        <n v="22999"/>
        <n v="12345"/>
        <n v="74900"/>
        <n v="21999"/>
        <n v="12990"/>
        <n v="34990"/>
        <n v="31000"/>
        <n v="99900"/>
        <n v="8999"/>
        <n v="13999"/>
        <n v="7699"/>
        <n v="9999"/>
        <n v="3499"/>
        <n v="26999"/>
        <n v="19999"/>
        <n v="6990"/>
        <n v="70000"/>
        <n v="18199"/>
        <n v="14990"/>
        <n v="10499"/>
        <n v="49999"/>
        <n v="2399"/>
        <n v="35490"/>
        <n v="31999"/>
        <n v="12999"/>
        <n v="10999"/>
        <n v="69999"/>
        <n v="6999"/>
        <n v="22450"/>
        <n v="11999"/>
        <n v="34999"/>
        <n v="22900"/>
        <n v="64900"/>
        <n v="15999"/>
        <n v="42900"/>
        <n v="39900"/>
        <n v="24999"/>
        <n v="37990"/>
        <n v="73990"/>
        <n v="7580"/>
        <n v="61988"/>
        <n v="9990"/>
        <n v="37490"/>
        <n v="17999"/>
        <n v="15990"/>
        <n v="15739"/>
        <n v="38800"/>
        <n v="16590"/>
        <n v="27995"/>
      </sharedItems>
    </cacheField>
    <cacheField name="Profit" numFmtId="0">
      <sharedItems containsSemiMixedTypes="0" containsString="0" containsNumber="1" containsInteger="1" minValue="0" maxValue="14000"/>
    </cacheField>
  </cacheFields>
  <extLst>
    <ext xmlns:x14="http://schemas.microsoft.com/office/spreadsheetml/2009/9/main" uri="{725AE2AE-9491-48be-B2B4-4EB974FC3084}">
      <x14:pivotCacheDefinition pivotCacheId="14046257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
  <r>
    <x v="0"/>
    <x v="0"/>
    <x v="0"/>
    <x v="0"/>
    <x v="0"/>
    <x v="0"/>
    <x v="0"/>
    <x v="0"/>
    <n v="2001"/>
  </r>
  <r>
    <x v="1"/>
    <x v="1"/>
    <x v="0"/>
    <x v="1"/>
    <x v="1"/>
    <x v="1"/>
    <x v="1"/>
    <x v="1"/>
    <n v="801"/>
  </r>
  <r>
    <x v="2"/>
    <x v="1"/>
    <x v="0"/>
    <x v="1"/>
    <x v="2"/>
    <x v="0"/>
    <x v="2"/>
    <x v="2"/>
    <n v="2000"/>
  </r>
  <r>
    <x v="2"/>
    <x v="1"/>
    <x v="1"/>
    <x v="2"/>
    <x v="3"/>
    <x v="2"/>
    <x v="3"/>
    <x v="3"/>
    <n v="0"/>
  </r>
  <r>
    <x v="0"/>
    <x v="2"/>
    <x v="1"/>
    <x v="2"/>
    <x v="4"/>
    <x v="0"/>
    <x v="4"/>
    <x v="4"/>
    <n v="2322"/>
  </r>
  <r>
    <x v="1"/>
    <x v="2"/>
    <x v="2"/>
    <x v="1"/>
    <x v="0"/>
    <x v="2"/>
    <x v="5"/>
    <x v="5"/>
    <n v="1213"/>
  </r>
  <r>
    <x v="1"/>
    <x v="2"/>
    <x v="3"/>
    <x v="2"/>
    <x v="1"/>
    <x v="1"/>
    <x v="6"/>
    <x v="6"/>
    <n v="10911"/>
  </r>
  <r>
    <x v="2"/>
    <x v="2"/>
    <x v="0"/>
    <x v="2"/>
    <x v="2"/>
    <x v="0"/>
    <x v="7"/>
    <x v="7"/>
    <n v="7099"/>
  </r>
  <r>
    <x v="0"/>
    <x v="0"/>
    <x v="0"/>
    <x v="1"/>
    <x v="3"/>
    <x v="2"/>
    <x v="8"/>
    <x v="8"/>
    <n v="1600"/>
  </r>
  <r>
    <x v="1"/>
    <x v="3"/>
    <x v="0"/>
    <x v="0"/>
    <x v="0"/>
    <x v="0"/>
    <x v="9"/>
    <x v="9"/>
    <n v="2001"/>
  </r>
  <r>
    <x v="0"/>
    <x v="0"/>
    <x v="1"/>
    <x v="2"/>
    <x v="1"/>
    <x v="2"/>
    <x v="10"/>
    <x v="10"/>
    <n v="655"/>
  </r>
  <r>
    <x v="0"/>
    <x v="2"/>
    <x v="1"/>
    <x v="2"/>
    <x v="2"/>
    <x v="0"/>
    <x v="11"/>
    <x v="11"/>
    <n v="9100"/>
  </r>
  <r>
    <x v="3"/>
    <x v="1"/>
    <x v="3"/>
    <x v="0"/>
    <x v="3"/>
    <x v="0"/>
    <x v="0"/>
    <x v="12"/>
    <n v="1001"/>
  </r>
  <r>
    <x v="1"/>
    <x v="1"/>
    <x v="0"/>
    <x v="3"/>
    <x v="4"/>
    <x v="0"/>
    <x v="12"/>
    <x v="13"/>
    <n v="2010"/>
  </r>
  <r>
    <x v="2"/>
    <x v="4"/>
    <x v="0"/>
    <x v="0"/>
    <x v="0"/>
    <x v="0"/>
    <x v="13"/>
    <x v="14"/>
    <n v="3010"/>
  </r>
  <r>
    <x v="1"/>
    <x v="4"/>
    <x v="1"/>
    <x v="2"/>
    <x v="1"/>
    <x v="1"/>
    <x v="14"/>
    <x v="15"/>
    <n v="8990"/>
  </r>
  <r>
    <x v="3"/>
    <x v="2"/>
    <x v="3"/>
    <x v="2"/>
    <x v="2"/>
    <x v="1"/>
    <x v="15"/>
    <x v="16"/>
    <n v="0"/>
  </r>
  <r>
    <x v="0"/>
    <x v="0"/>
    <x v="2"/>
    <x v="1"/>
    <x v="3"/>
    <x v="2"/>
    <x v="16"/>
    <x v="17"/>
    <n v="3001"/>
  </r>
  <r>
    <x v="1"/>
    <x v="0"/>
    <x v="1"/>
    <x v="2"/>
    <x v="4"/>
    <x v="2"/>
    <x v="12"/>
    <x v="18"/>
    <n v="1001"/>
  </r>
  <r>
    <x v="0"/>
    <x v="3"/>
    <x v="0"/>
    <x v="3"/>
    <x v="0"/>
    <x v="2"/>
    <x v="17"/>
    <x v="19"/>
    <n v="1301"/>
  </r>
  <r>
    <x v="3"/>
    <x v="4"/>
    <x v="1"/>
    <x v="2"/>
    <x v="1"/>
    <x v="1"/>
    <x v="10"/>
    <x v="20"/>
    <n v="3001"/>
  </r>
  <r>
    <x v="1"/>
    <x v="1"/>
    <x v="0"/>
    <x v="0"/>
    <x v="2"/>
    <x v="1"/>
    <x v="12"/>
    <x v="13"/>
    <n v="2010"/>
  </r>
  <r>
    <x v="0"/>
    <x v="2"/>
    <x v="2"/>
    <x v="3"/>
    <x v="3"/>
    <x v="1"/>
    <x v="18"/>
    <x v="21"/>
    <n v="1501"/>
  </r>
  <r>
    <x v="2"/>
    <x v="1"/>
    <x v="3"/>
    <x v="0"/>
    <x v="4"/>
    <x v="0"/>
    <x v="19"/>
    <x v="22"/>
    <n v="1001"/>
  </r>
  <r>
    <x v="0"/>
    <x v="1"/>
    <x v="0"/>
    <x v="0"/>
    <x v="3"/>
    <x v="0"/>
    <x v="16"/>
    <x v="20"/>
    <n v="2001"/>
  </r>
  <r>
    <x v="1"/>
    <x v="1"/>
    <x v="3"/>
    <x v="2"/>
    <x v="4"/>
    <x v="0"/>
    <x v="20"/>
    <x v="23"/>
    <n v="1001"/>
  </r>
  <r>
    <x v="1"/>
    <x v="2"/>
    <x v="0"/>
    <x v="1"/>
    <x v="0"/>
    <x v="2"/>
    <x v="21"/>
    <x v="24"/>
    <n v="510"/>
  </r>
  <r>
    <x v="3"/>
    <x v="0"/>
    <x v="0"/>
    <x v="1"/>
    <x v="1"/>
    <x v="2"/>
    <x v="22"/>
    <x v="2"/>
    <n v="1501"/>
  </r>
  <r>
    <x v="3"/>
    <x v="0"/>
    <x v="3"/>
    <x v="2"/>
    <x v="2"/>
    <x v="3"/>
    <x v="11"/>
    <x v="25"/>
    <n v="14000"/>
  </r>
  <r>
    <x v="3"/>
    <x v="0"/>
    <x v="1"/>
    <x v="0"/>
    <x v="3"/>
    <x v="0"/>
    <x v="23"/>
    <x v="26"/>
    <n v="4301"/>
  </r>
  <r>
    <x v="1"/>
    <x v="0"/>
    <x v="1"/>
    <x v="2"/>
    <x v="4"/>
    <x v="3"/>
    <x v="23"/>
    <x v="27"/>
    <n v="7510"/>
  </r>
  <r>
    <x v="3"/>
    <x v="0"/>
    <x v="0"/>
    <x v="3"/>
    <x v="0"/>
    <x v="2"/>
    <x v="1"/>
    <x v="28"/>
    <n v="501"/>
  </r>
  <r>
    <x v="1"/>
    <x v="0"/>
    <x v="0"/>
    <x v="2"/>
    <x v="1"/>
    <x v="0"/>
    <x v="24"/>
    <x v="29"/>
    <n v="1001"/>
  </r>
  <r>
    <x v="3"/>
    <x v="1"/>
    <x v="0"/>
    <x v="3"/>
    <x v="2"/>
    <x v="0"/>
    <x v="16"/>
    <x v="17"/>
    <n v="3001"/>
  </r>
  <r>
    <x v="3"/>
    <x v="2"/>
    <x v="1"/>
    <x v="2"/>
    <x v="3"/>
    <x v="0"/>
    <x v="25"/>
    <x v="4"/>
    <n v="3100"/>
  </r>
  <r>
    <x v="3"/>
    <x v="0"/>
    <x v="0"/>
    <x v="3"/>
    <x v="4"/>
    <x v="2"/>
    <x v="17"/>
    <x v="24"/>
    <n v="2010"/>
  </r>
  <r>
    <x v="3"/>
    <x v="0"/>
    <x v="0"/>
    <x v="0"/>
    <x v="0"/>
    <x v="2"/>
    <x v="26"/>
    <x v="30"/>
    <n v="401"/>
  </r>
  <r>
    <x v="2"/>
    <x v="3"/>
    <x v="2"/>
    <x v="3"/>
    <x v="1"/>
    <x v="1"/>
    <x v="27"/>
    <x v="31"/>
    <n v="3005"/>
  </r>
  <r>
    <x v="2"/>
    <x v="1"/>
    <x v="0"/>
    <x v="3"/>
    <x v="3"/>
    <x v="0"/>
    <x v="28"/>
    <x v="32"/>
    <n v="501"/>
  </r>
  <r>
    <x v="3"/>
    <x v="1"/>
    <x v="0"/>
    <x v="2"/>
    <x v="4"/>
    <x v="0"/>
    <x v="29"/>
    <x v="32"/>
    <n v="1501"/>
  </r>
  <r>
    <x v="2"/>
    <x v="1"/>
    <x v="1"/>
    <x v="0"/>
    <x v="0"/>
    <x v="3"/>
    <x v="30"/>
    <x v="33"/>
    <n v="501"/>
  </r>
  <r>
    <x v="0"/>
    <x v="4"/>
    <x v="0"/>
    <x v="1"/>
    <x v="1"/>
    <x v="0"/>
    <x v="16"/>
    <x v="34"/>
    <n v="1001"/>
  </r>
  <r>
    <x v="0"/>
    <x v="4"/>
    <x v="1"/>
    <x v="2"/>
    <x v="3"/>
    <x v="3"/>
    <x v="31"/>
    <x v="35"/>
    <n v="2001"/>
  </r>
  <r>
    <x v="0"/>
    <x v="3"/>
    <x v="0"/>
    <x v="1"/>
    <x v="4"/>
    <x v="2"/>
    <x v="32"/>
    <x v="36"/>
    <n v="1001"/>
  </r>
  <r>
    <x v="0"/>
    <x v="0"/>
    <x v="0"/>
    <x v="0"/>
    <x v="0"/>
    <x v="2"/>
    <x v="33"/>
    <x v="37"/>
    <n v="100"/>
  </r>
  <r>
    <x v="2"/>
    <x v="2"/>
    <x v="0"/>
    <x v="2"/>
    <x v="1"/>
    <x v="2"/>
    <x v="34"/>
    <x v="38"/>
    <n v="501"/>
  </r>
  <r>
    <x v="2"/>
    <x v="1"/>
    <x v="0"/>
    <x v="0"/>
    <x v="0"/>
    <x v="0"/>
    <x v="35"/>
    <x v="39"/>
    <n v="1001"/>
  </r>
  <r>
    <x v="1"/>
    <x v="0"/>
    <x v="1"/>
    <x v="3"/>
    <x v="1"/>
    <x v="0"/>
    <x v="36"/>
    <x v="40"/>
    <n v="1000"/>
  </r>
  <r>
    <x v="3"/>
    <x v="1"/>
    <x v="0"/>
    <x v="3"/>
    <x v="3"/>
    <x v="0"/>
    <x v="2"/>
    <x v="17"/>
    <n v="1000"/>
  </r>
  <r>
    <x v="3"/>
    <x v="2"/>
    <x v="1"/>
    <x v="2"/>
    <x v="4"/>
    <x v="0"/>
    <x v="37"/>
    <x v="41"/>
    <n v="0"/>
  </r>
  <r>
    <x v="3"/>
    <x v="1"/>
    <x v="1"/>
    <x v="2"/>
    <x v="4"/>
    <x v="3"/>
    <x v="38"/>
    <x v="42"/>
    <n v="1000"/>
  </r>
  <r>
    <x v="3"/>
    <x v="2"/>
    <x v="0"/>
    <x v="0"/>
    <x v="3"/>
    <x v="3"/>
    <x v="39"/>
    <x v="43"/>
    <n v="99"/>
  </r>
  <r>
    <x v="0"/>
    <x v="2"/>
    <x v="0"/>
    <x v="2"/>
    <x v="4"/>
    <x v="3"/>
    <x v="40"/>
    <x v="44"/>
    <n v="1099"/>
  </r>
  <r>
    <x v="2"/>
    <x v="4"/>
    <x v="0"/>
    <x v="3"/>
    <x v="0"/>
    <x v="0"/>
    <x v="41"/>
    <x v="45"/>
    <n v="1000"/>
  </r>
  <r>
    <x v="3"/>
    <x v="2"/>
    <x v="1"/>
    <x v="2"/>
    <x v="1"/>
    <x v="0"/>
    <x v="42"/>
    <x v="41"/>
    <n v="2099"/>
  </r>
  <r>
    <x v="2"/>
    <x v="0"/>
    <x v="0"/>
    <x v="1"/>
    <x v="0"/>
    <x v="1"/>
    <x v="43"/>
    <x v="2"/>
    <n v="1000"/>
  </r>
  <r>
    <x v="0"/>
    <x v="1"/>
    <x v="0"/>
    <x v="0"/>
    <x v="1"/>
    <x v="0"/>
    <x v="44"/>
    <x v="46"/>
    <n v="1466"/>
  </r>
  <r>
    <x v="2"/>
    <x v="1"/>
    <x v="0"/>
    <x v="2"/>
    <x v="3"/>
    <x v="0"/>
    <x v="45"/>
    <x v="46"/>
    <n v="1268"/>
  </r>
  <r>
    <x v="3"/>
    <x v="0"/>
    <x v="3"/>
    <x v="0"/>
    <x v="4"/>
    <x v="0"/>
    <x v="46"/>
    <x v="47"/>
    <n v="110"/>
  </r>
  <r>
    <x v="2"/>
    <x v="1"/>
    <x v="1"/>
    <x v="2"/>
    <x v="4"/>
    <x v="0"/>
    <x v="3"/>
    <x v="18"/>
    <n v="1000"/>
  </r>
  <r>
    <x v="0"/>
    <x v="0"/>
    <x v="1"/>
    <x v="3"/>
    <x v="3"/>
    <x v="1"/>
    <x v="47"/>
    <x v="48"/>
    <n v="940"/>
  </r>
  <r>
    <x v="2"/>
    <x v="0"/>
    <x v="1"/>
    <x v="3"/>
    <x v="4"/>
    <x v="2"/>
    <x v="48"/>
    <x v="49"/>
    <n v="512"/>
  </r>
  <r>
    <x v="2"/>
    <x v="4"/>
    <x v="0"/>
    <x v="1"/>
    <x v="0"/>
    <x v="1"/>
    <x v="49"/>
    <x v="50"/>
    <n v="210"/>
  </r>
  <r>
    <x v="0"/>
    <x v="1"/>
    <x v="0"/>
    <x v="3"/>
    <x v="1"/>
    <x v="0"/>
    <x v="16"/>
    <x v="34"/>
    <n v="1001"/>
  </r>
  <r>
    <x v="0"/>
    <x v="2"/>
    <x v="0"/>
    <x v="1"/>
    <x v="0"/>
    <x v="0"/>
    <x v="50"/>
    <x v="38"/>
    <n v="1000"/>
  </r>
  <r>
    <x v="2"/>
    <x v="3"/>
    <x v="0"/>
    <x v="0"/>
    <x v="1"/>
    <x v="2"/>
    <x v="51"/>
    <x v="51"/>
    <n v="1310"/>
  </r>
  <r>
    <x v="0"/>
    <x v="4"/>
    <x v="1"/>
    <x v="3"/>
    <x v="3"/>
    <x v="2"/>
    <x v="52"/>
    <x v="22"/>
    <n v="9523"/>
  </r>
  <r>
    <x v="0"/>
    <x v="1"/>
    <x v="3"/>
    <x v="2"/>
    <x v="4"/>
    <x v="0"/>
    <x v="53"/>
    <x v="52"/>
    <n v="334"/>
  </r>
  <r>
    <x v="0"/>
    <x v="3"/>
    <x v="1"/>
    <x v="2"/>
    <x v="4"/>
    <x v="0"/>
    <x v="54"/>
    <x v="3"/>
    <n v="1000"/>
  </r>
  <r>
    <x v="2"/>
    <x v="1"/>
    <x v="1"/>
    <x v="2"/>
    <x v="3"/>
    <x v="0"/>
    <x v="55"/>
    <x v="53"/>
    <n v="963"/>
  </r>
  <r>
    <x v="3"/>
    <x v="1"/>
    <x v="0"/>
    <x v="1"/>
    <x v="4"/>
    <x v="2"/>
    <x v="56"/>
    <x v="54"/>
    <n v="1927"/>
  </r>
  <r>
    <x v="3"/>
    <x v="3"/>
    <x v="0"/>
    <x v="3"/>
    <x v="0"/>
    <x v="1"/>
    <x v="57"/>
    <x v="55"/>
    <n v="200"/>
  </r>
  <r>
    <x v="3"/>
    <x v="0"/>
    <x v="1"/>
    <x v="0"/>
    <x v="1"/>
    <x v="0"/>
    <x v="58"/>
    <x v="56"/>
    <n v="9310"/>
  </r>
  <r>
    <x v="1"/>
    <x v="3"/>
    <x v="3"/>
    <x v="0"/>
    <x v="0"/>
    <x v="2"/>
    <x v="59"/>
    <x v="5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485209-78BB-4E83-BEF0-81D72D480828}"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G3:H9" firstHeaderRow="1" firstDataRow="1" firstDataCol="1"/>
  <pivotFields count="9">
    <pivotField showAll="0">
      <items count="5">
        <item x="1"/>
        <item x="0"/>
        <item x="2"/>
        <item x="3"/>
        <item t="default"/>
      </items>
    </pivotField>
    <pivotField showAll="0">
      <items count="6">
        <item x="2"/>
        <item x="1"/>
        <item x="3"/>
        <item x="0"/>
        <item x="4"/>
        <item t="default"/>
      </items>
    </pivotField>
    <pivotField showAll="0">
      <items count="5">
        <item x="2"/>
        <item x="1"/>
        <item x="3"/>
        <item x="0"/>
        <item t="default"/>
      </items>
    </pivotField>
    <pivotField showAll="0">
      <items count="5">
        <item x="0"/>
        <item x="2"/>
        <item x="3"/>
        <item x="1"/>
        <item t="default"/>
      </items>
    </pivotField>
    <pivotField axis="axisRow" showAll="0">
      <items count="6">
        <item x="4"/>
        <item x="2"/>
        <item x="1"/>
        <item x="0"/>
        <item x="3"/>
        <item t="default"/>
      </items>
    </pivotField>
    <pivotField dataField="1" showAll="0">
      <items count="5">
        <item x="1"/>
        <item x="2"/>
        <item x="3"/>
        <item x="0"/>
        <item t="default"/>
      </items>
    </pivotField>
    <pivotField showAll="0"/>
    <pivotField showAll="0"/>
    <pivotField showAll="0"/>
  </pivotFields>
  <rowFields count="1">
    <field x="4"/>
  </rowFields>
  <rowItems count="6">
    <i>
      <x/>
    </i>
    <i>
      <x v="1"/>
    </i>
    <i>
      <x v="2"/>
    </i>
    <i>
      <x v="3"/>
    </i>
    <i>
      <x v="4"/>
    </i>
    <i t="grand">
      <x/>
    </i>
  </rowItems>
  <colItems count="1">
    <i/>
  </colItems>
  <dataFields count="1">
    <dataField name="Sum of Rating" fld="5" baseField="0" baseItem="0"/>
  </dataFields>
  <chartFormats count="2">
    <chartFormat chart="5"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3CF26F-0AEB-42D0-BE63-5EB7DA0B8A8C}"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3:E9" firstHeaderRow="1" firstDataRow="1" firstDataCol="1"/>
  <pivotFields count="9">
    <pivotField showAll="0">
      <items count="5">
        <item x="1"/>
        <item x="0"/>
        <item x="2"/>
        <item x="3"/>
        <item t="default"/>
      </items>
    </pivotField>
    <pivotField axis="axisRow" showAll="0">
      <items count="6">
        <item x="2"/>
        <item x="1"/>
        <item x="3"/>
        <item x="0"/>
        <item x="4"/>
        <item t="default"/>
      </items>
    </pivotField>
    <pivotField showAll="0"/>
    <pivotField showAll="0">
      <items count="5">
        <item x="0"/>
        <item x="2"/>
        <item x="3"/>
        <item x="1"/>
        <item t="default"/>
      </items>
    </pivotField>
    <pivotField showAll="0">
      <items count="6">
        <item x="4"/>
        <item x="2"/>
        <item x="1"/>
        <item x="0"/>
        <item x="3"/>
        <item t="default"/>
      </items>
    </pivotField>
    <pivotField showAll="0">
      <items count="5">
        <item x="1"/>
        <item x="2"/>
        <item x="3"/>
        <item x="0"/>
        <item t="default"/>
      </items>
    </pivotField>
    <pivotField dataField="1" showAll="0"/>
    <pivotField showAll="0"/>
    <pivotField showAll="0"/>
  </pivotFields>
  <rowFields count="1">
    <field x="1"/>
  </rowFields>
  <rowItems count="6">
    <i>
      <x/>
    </i>
    <i>
      <x v="1"/>
    </i>
    <i>
      <x v="2"/>
    </i>
    <i>
      <x v="3"/>
    </i>
    <i>
      <x v="4"/>
    </i>
    <i t="grand">
      <x/>
    </i>
  </rowItems>
  <colItems count="1">
    <i/>
  </colItems>
  <dataFields count="1">
    <dataField name="Sum of Selling Price" fld="6" baseField="0" baseItem="0"/>
  </dataFields>
  <chartFormats count="2">
    <chartFormat chart="15"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D07F6A-E4C7-44CB-A863-CB766E5599F8}"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9">
    <pivotField showAll="0">
      <items count="5">
        <item x="1"/>
        <item x="0"/>
        <item x="2"/>
        <item x="3"/>
        <item t="default"/>
      </items>
    </pivotField>
    <pivotField showAll="0">
      <items count="6">
        <item x="2"/>
        <item x="1"/>
        <item x="3"/>
        <item x="0"/>
        <item x="4"/>
        <item t="default"/>
      </items>
    </pivotField>
    <pivotField showAll="0"/>
    <pivotField showAll="0"/>
    <pivotField axis="axisRow" showAll="0">
      <items count="6">
        <item x="4"/>
        <item x="2"/>
        <item x="1"/>
        <item x="0"/>
        <item x="3"/>
        <item t="default"/>
      </items>
    </pivotField>
    <pivotField showAll="0">
      <items count="5">
        <item x="1"/>
        <item x="2"/>
        <item x="3"/>
        <item x="0"/>
        <item t="default"/>
      </items>
    </pivotField>
    <pivotField showAll="0"/>
    <pivotField showAll="0"/>
    <pivotField dataField="1" showAll="0"/>
  </pivotFields>
  <rowFields count="1">
    <field x="4"/>
  </rowFields>
  <rowItems count="6">
    <i>
      <x/>
    </i>
    <i>
      <x v="1"/>
    </i>
    <i>
      <x v="2"/>
    </i>
    <i>
      <x v="3"/>
    </i>
    <i>
      <x v="4"/>
    </i>
    <i t="grand">
      <x/>
    </i>
  </rowItems>
  <colItems count="1">
    <i/>
  </colItems>
  <dataFields count="1">
    <dataField name="Sum of Profit" fld="8"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2"/>
          </reference>
        </references>
      </pivotArea>
    </chartFormat>
    <chartFormat chart="3" format="11">
      <pivotArea type="data" outline="0" fieldPosition="0">
        <references count="2">
          <reference field="4294967294" count="1" selected="0">
            <x v="0"/>
          </reference>
          <reference field="4" count="1" selected="0">
            <x v="3"/>
          </reference>
        </references>
      </pivotArea>
    </chartFormat>
    <chartFormat chart="3" format="12">
      <pivotArea type="data" outline="0" fieldPosition="0">
        <references count="2">
          <reference field="4294967294" count="1" selected="0">
            <x v="0"/>
          </reference>
          <reference field="4" count="1" selected="0">
            <x v="4"/>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61DE44-69C3-40AA-B93D-8A1702DF1DDC}" name="PivotTable1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N3:S10" firstHeaderRow="1" firstDataRow="2" firstDataCol="1"/>
  <pivotFields count="9">
    <pivotField showAll="0">
      <items count="5">
        <item x="1"/>
        <item x="0"/>
        <item x="2"/>
        <item x="3"/>
        <item t="default"/>
      </items>
    </pivotField>
    <pivotField showAll="0">
      <items count="6">
        <item x="2"/>
        <item x="1"/>
        <item x="3"/>
        <item x="0"/>
        <item x="4"/>
        <item t="default"/>
      </items>
    </pivotField>
    <pivotField showAll="0">
      <items count="5">
        <item x="2"/>
        <item x="1"/>
        <item x="3"/>
        <item x="0"/>
        <item t="default"/>
      </items>
    </pivotField>
    <pivotField axis="axisCol" showAll="0">
      <items count="5">
        <item x="0"/>
        <item x="2"/>
        <item x="3"/>
        <item x="1"/>
        <item t="default"/>
      </items>
    </pivotField>
    <pivotField axis="axisRow" showAll="0">
      <items count="6">
        <item x="4"/>
        <item x="2"/>
        <item x="1"/>
        <item x="0"/>
        <item x="3"/>
        <item t="default"/>
      </items>
    </pivotField>
    <pivotField showAll="0">
      <items count="5">
        <item x="1"/>
        <item x="2"/>
        <item x="3"/>
        <item x="0"/>
        <item t="default"/>
      </items>
    </pivotField>
    <pivotField dataField="1" showAll="0"/>
    <pivotField showAll="0"/>
    <pivotField showAll="0"/>
  </pivotFields>
  <rowFields count="1">
    <field x="4"/>
  </rowFields>
  <rowItems count="6">
    <i>
      <x/>
    </i>
    <i>
      <x v="1"/>
    </i>
    <i>
      <x v="2"/>
    </i>
    <i>
      <x v="3"/>
    </i>
    <i>
      <x v="4"/>
    </i>
    <i t="grand">
      <x/>
    </i>
  </rowItems>
  <colFields count="1">
    <field x="3"/>
  </colFields>
  <colItems count="5">
    <i>
      <x/>
    </i>
    <i>
      <x v="1"/>
    </i>
    <i>
      <x v="2"/>
    </i>
    <i>
      <x v="3"/>
    </i>
    <i t="grand">
      <x/>
    </i>
  </colItems>
  <dataFields count="1">
    <dataField name="Sum of Selling Price" fld="6" baseField="0" baseItem="0"/>
  </dataFields>
  <chartFormats count="8">
    <chartFormat chart="15" format="0" series="1">
      <pivotArea type="data" outline="0" fieldPosition="0">
        <references count="2">
          <reference field="4294967294" count="1" selected="0">
            <x v="0"/>
          </reference>
          <reference field="3" count="1" selected="0">
            <x v="0"/>
          </reference>
        </references>
      </pivotArea>
    </chartFormat>
    <chartFormat chart="15" format="1" series="1">
      <pivotArea type="data" outline="0" fieldPosition="0">
        <references count="2">
          <reference field="4294967294" count="1" selected="0">
            <x v="0"/>
          </reference>
          <reference field="3" count="1" selected="0">
            <x v="1"/>
          </reference>
        </references>
      </pivotArea>
    </chartFormat>
    <chartFormat chart="15" format="2" series="1">
      <pivotArea type="data" outline="0" fieldPosition="0">
        <references count="2">
          <reference field="4294967294" count="1" selected="0">
            <x v="0"/>
          </reference>
          <reference field="3" count="1" selected="0">
            <x v="2"/>
          </reference>
        </references>
      </pivotArea>
    </chartFormat>
    <chartFormat chart="15" format="3" series="1">
      <pivotArea type="data" outline="0" fieldPosition="0">
        <references count="2">
          <reference field="4294967294" count="1" selected="0">
            <x v="0"/>
          </reference>
          <reference field="3" count="1" selected="0">
            <x v="3"/>
          </reference>
        </references>
      </pivotArea>
    </chartFormat>
    <chartFormat chart="22" format="8" series="1">
      <pivotArea type="data" outline="0" fieldPosition="0">
        <references count="2">
          <reference field="4294967294" count="1" selected="0">
            <x v="0"/>
          </reference>
          <reference field="3" count="1" selected="0">
            <x v="0"/>
          </reference>
        </references>
      </pivotArea>
    </chartFormat>
    <chartFormat chart="22" format="9" series="1">
      <pivotArea type="data" outline="0" fieldPosition="0">
        <references count="2">
          <reference field="4294967294" count="1" selected="0">
            <x v="0"/>
          </reference>
          <reference field="3" count="1" selected="0">
            <x v="1"/>
          </reference>
        </references>
      </pivotArea>
    </chartFormat>
    <chartFormat chart="22" format="10" series="1">
      <pivotArea type="data" outline="0" fieldPosition="0">
        <references count="2">
          <reference field="4294967294" count="1" selected="0">
            <x v="0"/>
          </reference>
          <reference field="3" count="1" selected="0">
            <x v="2"/>
          </reference>
        </references>
      </pivotArea>
    </chartFormat>
    <chartFormat chart="22"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F75BC9-5135-42B4-BE20-33AAD79A3CF0}" name="PivotTable1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3:L9" firstHeaderRow="0" firstDataRow="1" firstDataCol="1"/>
  <pivotFields count="9">
    <pivotField showAll="0">
      <items count="5">
        <item x="1"/>
        <item x="0"/>
        <item x="2"/>
        <item x="3"/>
        <item t="default"/>
      </items>
    </pivotField>
    <pivotField axis="axisRow" showAll="0">
      <items count="6">
        <item x="2"/>
        <item x="1"/>
        <item x="3"/>
        <item x="0"/>
        <item x="4"/>
        <item t="default"/>
      </items>
    </pivotField>
    <pivotField showAll="0"/>
    <pivotField showAll="0">
      <items count="5">
        <item x="0"/>
        <item x="2"/>
        <item x="3"/>
        <item x="1"/>
        <item t="default"/>
      </items>
    </pivotField>
    <pivotField showAll="0">
      <items count="6">
        <item x="4"/>
        <item x="2"/>
        <item x="1"/>
        <item x="0"/>
        <item x="3"/>
        <item t="default"/>
      </items>
    </pivotField>
    <pivotField showAll="0">
      <items count="5">
        <item x="1"/>
        <item x="2"/>
        <item x="3"/>
        <item x="0"/>
        <item t="default"/>
      </items>
    </pivotField>
    <pivotField dataField="1" showAll="0"/>
    <pivotField dataField="1" showAll="0"/>
    <pivotField showAll="0"/>
  </pivotFields>
  <rowFields count="1">
    <field x="1"/>
  </rowFields>
  <rowItems count="6">
    <i>
      <x/>
    </i>
    <i>
      <x v="1"/>
    </i>
    <i>
      <x v="2"/>
    </i>
    <i>
      <x v="3"/>
    </i>
    <i>
      <x v="4"/>
    </i>
    <i t="grand">
      <x/>
    </i>
  </rowItems>
  <colFields count="1">
    <field x="-2"/>
  </colFields>
  <colItems count="2">
    <i>
      <x/>
    </i>
    <i i="1">
      <x v="1"/>
    </i>
  </colItems>
  <dataFields count="2">
    <dataField name="Sum of Original Price" fld="7" baseField="0" baseItem="0"/>
    <dataField name="Sum of Selling Price"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44AE93EF-3637-4346-9995-098FB76A3771}" sourceName="Date">
  <pivotTables>
    <pivotTable tabId="2" name="PivotTable10"/>
    <pivotTable tabId="2" name="PivotTable12"/>
    <pivotTable tabId="2" name="PivotTable13"/>
    <pivotTable tabId="2" name="PivotTable8"/>
    <pivotTable tabId="2" name="PivotTable9"/>
  </pivotTables>
  <data>
    <tabular pivotCacheId="1404625753">
      <items count="4">
        <i x="1" s="1"/>
        <i x="0" s="1"/>
        <i x="2"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s" xr10:uid="{3DE5750E-29C1-419B-B10E-463379E74C10}" sourceName="Brands">
  <pivotTables>
    <pivotTable tabId="2" name="PivotTable10"/>
    <pivotTable tabId="2" name="PivotTable12"/>
    <pivotTable tabId="2" name="PivotTable13"/>
    <pivotTable tabId="2" name="PivotTable8"/>
    <pivotTable tabId="2" name="PivotTable9"/>
  </pivotTables>
  <data>
    <tabular pivotCacheId="1404625753">
      <items count="5">
        <i x="2" s="1"/>
        <i x="1" s="1"/>
        <i x="3" s="1"/>
        <i x="0" s="1"/>
        <i x="4"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age" xr10:uid="{56530753-FE88-494F-9114-7D2ADD8C47DB}" sourceName="Storage">
  <pivotTables>
    <pivotTable tabId="2" name="PivotTable10"/>
    <pivotTable tabId="2" name="PivotTable12"/>
    <pivotTable tabId="2" name="PivotTable13"/>
    <pivotTable tabId="2" name="PivotTable9"/>
  </pivotTables>
  <data>
    <tabular pivotCacheId="1404625753">
      <items count="4">
        <i x="0" s="1"/>
        <i x="2" s="1"/>
        <i x="3" s="1"/>
        <i x="1"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8DF317F-0B71-4D16-868F-497E31EECEC5}" sourceName="Location">
  <pivotTables>
    <pivotTable tabId="2" name="PivotTable10"/>
    <pivotTable tabId="2" name="PivotTable12"/>
    <pivotTable tabId="2" name="PivotTable13"/>
    <pivotTable tabId="2" name="PivotTable8"/>
    <pivotTable tabId="2" name="PivotTable9"/>
  </pivotTables>
  <data>
    <tabular pivotCacheId="1404625753">
      <items count="5">
        <i x="4" s="1"/>
        <i x="2" s="1"/>
        <i x="1" s="1"/>
        <i x="0" s="1"/>
        <i x="3"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CD3ED34B-68E1-4210-B4B0-4B489E910946}" sourceName="Rating">
  <pivotTables>
    <pivotTable tabId="2" name="PivotTable13"/>
    <pivotTable tabId="2" name="PivotTable10"/>
    <pivotTable tabId="2" name="PivotTable12"/>
    <pivotTable tabId="2" name="PivotTable8"/>
    <pivotTable tabId="2" name="PivotTable9"/>
  </pivotTables>
  <data>
    <tabular pivotCacheId="1404625753">
      <items count="4">
        <i x="1" s="1"/>
        <i x="2" s="1"/>
        <i x="3"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722C2B95-EEFC-433C-B03F-98613931B63A}" cache="Slicer_Date" caption="Date" rowHeight="234950"/>
  <slicer name="Brands" xr10:uid="{B72A240C-0777-4E8F-9DA2-20C826B06AE9}" cache="Slicer_Brands" caption="Brands" rowHeight="234950"/>
  <slicer name="Storage" xr10:uid="{3A1F0577-6B37-489F-A5A1-4A301C6CB2A8}" cache="Slicer_Storage" caption="Storage" rowHeight="234950"/>
  <slicer name="Location" xr10:uid="{29AE41FA-CAC0-4CE2-A422-CDD8C9397B8A}" cache="Slicer_Location" caption="Location" rowHeight="234950"/>
  <slicer name="Rating" xr10:uid="{5D80A405-18BC-47D8-926F-9AB6F61FB348}" cache="Slicer_Rating" caption="Rating"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55BB5A12-5572-424D-BAC7-D8A8733CE5C6}" cache="Slicer_Date" caption="Date" showCaption="0" style="SlicerStyleOther2" rowHeight="504000"/>
  <slicer name="Brands 1" xr10:uid="{2A8205BA-A10F-4E85-B0B7-8E91A7023B1A}" cache="Slicer_Brands" caption="Brands" showCaption="0" style="SlicerStyleOther2" rowHeight="432000"/>
  <slicer name="Storage 1" xr10:uid="{F310E1FA-A3C1-49E4-8216-1364DADAAB97}" cache="Slicer_Storage" caption="Storage" showCaption="0" style="SlicerStyleOther2" rowHeight="432000"/>
  <slicer name="Location 1" xr10:uid="{DC73E628-13CD-4EFE-B6C0-7F272B092FAF}" cache="Slicer_Location" caption="Location" showCaption="0" style="SlicerStyleOther2" rowHeight="288000"/>
  <slicer name="Rating 1" xr10:uid="{FA4C0DFB-9232-499B-BD35-573198BB77FE}" cache="Slicer_Rating" caption="Rating" showCaption="0" style="SlicerStyleOther2" rowHeight="68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30CDC2-2D37-4062-AA83-05BD099F2139}" name="Table1" displayName="Table1" ref="A1:I75" totalsRowShown="0" headerRowDxfId="10" dataDxfId="9">
  <autoFilter ref="A1:I75" xr:uid="{5630CDC2-2D37-4062-AA83-05BD099F2139}"/>
  <tableColumns count="9">
    <tableColumn id="1" xr3:uid="{D0810F53-DB68-47C3-9A67-826CE43E0599}" name="Date" dataDxfId="8"/>
    <tableColumn id="2" xr3:uid="{15F5B34C-AEED-4D86-BCF1-39D923523BEA}" name="Brands" dataDxfId="7"/>
    <tableColumn id="5" xr3:uid="{9B66E475-74A4-4F02-AAAA-3F3DBE73E4CA}" name="Memory" dataDxfId="6"/>
    <tableColumn id="6" xr3:uid="{A36CD48D-3FC8-45D2-B8BF-74B0EE093C9E}" name="Storage" dataDxfId="5"/>
    <tableColumn id="7" xr3:uid="{84AC7AA6-24C1-4B93-AE6C-88B9352BB1A4}" name="Location" dataDxfId="4"/>
    <tableColumn id="8" xr3:uid="{67BCA65F-31C6-42F9-8E32-F38F5D0B6F2C}" name="Rating" dataDxfId="3"/>
    <tableColumn id="9" xr3:uid="{FE7F4B8F-5039-42EB-8BDD-BE7B67CC593D}" name="Selling Price" dataDxfId="2"/>
    <tableColumn id="10" xr3:uid="{2ED72AC4-6040-4680-A87E-B74678993DEF}" name="Original Price" dataDxfId="1"/>
    <tableColumn id="11" xr3:uid="{819CC936-5BC6-4B52-8976-E6DBBC1B61ED}" name="Profit" dataDxfId="0">
      <calculatedColumnFormula>G2-H2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00387-D5AD-4C9A-96A5-167B8F82CE1A}">
  <dimension ref="A1:K150"/>
  <sheetViews>
    <sheetView workbookViewId="0">
      <selection activeCell="K6" sqref="K6"/>
    </sheetView>
  </sheetViews>
  <sheetFormatPr defaultRowHeight="14.4" x14ac:dyDescent="0.3"/>
  <cols>
    <col min="1" max="2" width="21.77734375" customWidth="1"/>
    <col min="3" max="3" width="16.33203125" customWidth="1"/>
    <col min="4" max="4" width="16.6640625" customWidth="1"/>
    <col min="5" max="5" width="14.5546875" customWidth="1"/>
    <col min="6" max="6" width="10.77734375" bestFit="1" customWidth="1"/>
    <col min="7" max="7" width="16.88671875" customWidth="1"/>
    <col min="8" max="8" width="14.109375" customWidth="1"/>
    <col min="9" max="9" width="23.44140625" customWidth="1"/>
    <col min="10" max="11" width="18" customWidth="1"/>
  </cols>
  <sheetData>
    <row r="1" spans="1:11" s="3" customFormat="1" x14ac:dyDescent="0.3">
      <c r="A1" s="1" t="s">
        <v>0</v>
      </c>
      <c r="B1" s="1" t="s">
        <v>1</v>
      </c>
      <c r="C1" s="1" t="s">
        <v>2</v>
      </c>
      <c r="D1" s="1" t="s">
        <v>3</v>
      </c>
      <c r="E1" s="1" t="s">
        <v>4</v>
      </c>
      <c r="F1" s="1" t="s">
        <v>5</v>
      </c>
      <c r="G1" s="1" t="s">
        <v>6</v>
      </c>
      <c r="H1" s="1" t="s">
        <v>7</v>
      </c>
      <c r="I1" s="2" t="s">
        <v>8</v>
      </c>
    </row>
    <row r="2" spans="1:11" s="3" customFormat="1" x14ac:dyDescent="0.3">
      <c r="A2" s="3">
        <v>2023</v>
      </c>
      <c r="B2" s="3" t="s">
        <v>9</v>
      </c>
      <c r="C2" s="3" t="s">
        <v>10</v>
      </c>
      <c r="D2" s="3" t="s">
        <v>11</v>
      </c>
      <c r="E2" s="3" t="s">
        <v>12</v>
      </c>
      <c r="F2" s="3">
        <v>5</v>
      </c>
      <c r="G2" s="3">
        <v>23000</v>
      </c>
      <c r="H2" s="3">
        <v>20999</v>
      </c>
      <c r="I2" s="3">
        <f>G2-H2</f>
        <v>2001</v>
      </c>
      <c r="K2" s="4" t="s">
        <v>13</v>
      </c>
    </row>
    <row r="3" spans="1:11" s="3" customFormat="1" x14ac:dyDescent="0.3">
      <c r="A3" s="3">
        <v>2022</v>
      </c>
      <c r="B3" s="3" t="s">
        <v>26</v>
      </c>
      <c r="C3" s="3" t="s">
        <v>10</v>
      </c>
      <c r="D3" s="3" t="s">
        <v>18</v>
      </c>
      <c r="E3" s="3" t="s">
        <v>15</v>
      </c>
      <c r="F3" s="3">
        <v>3.5</v>
      </c>
      <c r="G3" s="3">
        <v>11000</v>
      </c>
      <c r="H3" s="3">
        <v>10199</v>
      </c>
      <c r="I3" s="3">
        <f t="shared" ref="I3:I67" si="0">G3-H3</f>
        <v>801</v>
      </c>
      <c r="K3" s="5">
        <f>SUM(G2:G75)</f>
        <v>2138573</v>
      </c>
    </row>
    <row r="4" spans="1:11" s="3" customFormat="1" x14ac:dyDescent="0.3">
      <c r="A4" s="3">
        <v>2024</v>
      </c>
      <c r="B4" s="3" t="s">
        <v>26</v>
      </c>
      <c r="C4" s="3" t="s">
        <v>10</v>
      </c>
      <c r="D4" s="3" t="s">
        <v>18</v>
      </c>
      <c r="E4" s="3" t="s">
        <v>16</v>
      </c>
      <c r="F4" s="3">
        <v>5</v>
      </c>
      <c r="G4" s="3">
        <v>9999</v>
      </c>
      <c r="H4" s="3">
        <v>7999</v>
      </c>
      <c r="I4" s="3">
        <f t="shared" si="0"/>
        <v>2000</v>
      </c>
      <c r="K4" s="6"/>
    </row>
    <row r="5" spans="1:11" s="3" customFormat="1" x14ac:dyDescent="0.3">
      <c r="A5" s="3">
        <v>2024</v>
      </c>
      <c r="B5" s="3" t="s">
        <v>26</v>
      </c>
      <c r="C5" s="3" t="s">
        <v>17</v>
      </c>
      <c r="D5" s="3" t="s">
        <v>25</v>
      </c>
      <c r="E5" s="3" t="s">
        <v>19</v>
      </c>
      <c r="F5" s="3">
        <v>4</v>
      </c>
      <c r="G5" s="3">
        <v>14999</v>
      </c>
      <c r="H5" s="3">
        <v>14999</v>
      </c>
      <c r="I5" s="3">
        <f t="shared" si="0"/>
        <v>0</v>
      </c>
      <c r="K5" s="4" t="s">
        <v>20</v>
      </c>
    </row>
    <row r="6" spans="1:11" s="3" customFormat="1" x14ac:dyDescent="0.3">
      <c r="A6" s="3">
        <v>2023</v>
      </c>
      <c r="B6" s="3" t="s">
        <v>21</v>
      </c>
      <c r="C6" s="3" t="s">
        <v>17</v>
      </c>
      <c r="D6" s="3" t="s">
        <v>25</v>
      </c>
      <c r="E6" s="3" t="s">
        <v>22</v>
      </c>
      <c r="F6" s="3">
        <v>5</v>
      </c>
      <c r="G6" s="3">
        <v>52222</v>
      </c>
      <c r="H6" s="3">
        <v>49900</v>
      </c>
      <c r="I6" s="3">
        <f t="shared" si="0"/>
        <v>2322</v>
      </c>
      <c r="K6" s="5">
        <f>SUM(I2:I75)</f>
        <v>159856</v>
      </c>
    </row>
    <row r="7" spans="1:11" s="3" customFormat="1" x14ac:dyDescent="0.3">
      <c r="A7" s="3">
        <v>2022</v>
      </c>
      <c r="B7" s="3" t="s">
        <v>21</v>
      </c>
      <c r="C7" s="3" t="s">
        <v>14</v>
      </c>
      <c r="D7" s="3" t="s">
        <v>18</v>
      </c>
      <c r="E7" s="3" t="s">
        <v>12</v>
      </c>
      <c r="F7" s="3">
        <v>4</v>
      </c>
      <c r="G7" s="3">
        <v>4512</v>
      </c>
      <c r="H7" s="3">
        <v>3299</v>
      </c>
      <c r="I7" s="3">
        <f t="shared" si="0"/>
        <v>1213</v>
      </c>
      <c r="K7" s="6"/>
    </row>
    <row r="8" spans="1:11" s="3" customFormat="1" x14ac:dyDescent="0.3">
      <c r="A8" s="3">
        <v>2022</v>
      </c>
      <c r="B8" s="3" t="s">
        <v>21</v>
      </c>
      <c r="C8" s="3" t="s">
        <v>23</v>
      </c>
      <c r="D8" s="3" t="s">
        <v>25</v>
      </c>
      <c r="E8" s="3" t="s">
        <v>15</v>
      </c>
      <c r="F8" s="3">
        <v>3.5</v>
      </c>
      <c r="G8" s="3">
        <v>99110</v>
      </c>
      <c r="H8" s="3">
        <v>88199</v>
      </c>
      <c r="I8" s="3">
        <f>G8-H8</f>
        <v>10911</v>
      </c>
      <c r="K8" s="4" t="s">
        <v>24</v>
      </c>
    </row>
    <row r="9" spans="1:11" s="3" customFormat="1" x14ac:dyDescent="0.3">
      <c r="A9" s="3">
        <v>2024</v>
      </c>
      <c r="B9" s="3" t="s">
        <v>21</v>
      </c>
      <c r="C9" s="3" t="s">
        <v>10</v>
      </c>
      <c r="D9" s="3" t="s">
        <v>25</v>
      </c>
      <c r="E9" s="3" t="s">
        <v>16</v>
      </c>
      <c r="F9" s="3">
        <v>5</v>
      </c>
      <c r="G9" s="3">
        <v>54999</v>
      </c>
      <c r="H9" s="3">
        <v>47900</v>
      </c>
      <c r="I9" s="3">
        <f t="shared" si="0"/>
        <v>7099</v>
      </c>
      <c r="K9" s="5">
        <f>AVERAGE(G2:G75)</f>
        <v>28899.635135135137</v>
      </c>
    </row>
    <row r="10" spans="1:11" s="3" customFormat="1" x14ac:dyDescent="0.3">
      <c r="A10" s="3">
        <v>2023</v>
      </c>
      <c r="B10" s="3" t="s">
        <v>9</v>
      </c>
      <c r="C10" s="3" t="s">
        <v>10</v>
      </c>
      <c r="D10" s="3" t="s">
        <v>18</v>
      </c>
      <c r="E10" s="3" t="s">
        <v>19</v>
      </c>
      <c r="F10" s="3">
        <v>4</v>
      </c>
      <c r="G10" s="3">
        <v>22000</v>
      </c>
      <c r="H10" s="3">
        <v>20400</v>
      </c>
      <c r="I10" s="3">
        <f t="shared" si="0"/>
        <v>1600</v>
      </c>
      <c r="K10" s="6"/>
    </row>
    <row r="11" spans="1:11" s="3" customFormat="1" x14ac:dyDescent="0.3">
      <c r="A11" s="3">
        <v>2022</v>
      </c>
      <c r="B11" s="3" t="s">
        <v>29</v>
      </c>
      <c r="C11" s="3" t="s">
        <v>10</v>
      </c>
      <c r="D11" s="3" t="s">
        <v>11</v>
      </c>
      <c r="E11" s="3" t="s">
        <v>12</v>
      </c>
      <c r="F11" s="3">
        <v>5</v>
      </c>
      <c r="G11" s="3">
        <v>25000</v>
      </c>
      <c r="H11" s="3">
        <v>22999</v>
      </c>
      <c r="I11" s="3">
        <f t="shared" si="0"/>
        <v>2001</v>
      </c>
      <c r="K11" s="6"/>
    </row>
    <row r="12" spans="1:11" s="3" customFormat="1" x14ac:dyDescent="0.3">
      <c r="A12" s="3">
        <v>2023</v>
      </c>
      <c r="B12" s="3" t="s">
        <v>9</v>
      </c>
      <c r="C12" s="3" t="s">
        <v>17</v>
      </c>
      <c r="D12" s="3" t="s">
        <v>25</v>
      </c>
      <c r="E12" s="3" t="s">
        <v>15</v>
      </c>
      <c r="F12" s="3">
        <v>4</v>
      </c>
      <c r="G12" s="3">
        <v>13000</v>
      </c>
      <c r="H12" s="3">
        <v>12345</v>
      </c>
      <c r="I12" s="3">
        <f t="shared" si="0"/>
        <v>655</v>
      </c>
      <c r="K12" s="6"/>
    </row>
    <row r="13" spans="1:11" s="3" customFormat="1" x14ac:dyDescent="0.3">
      <c r="A13" s="3">
        <v>2023</v>
      </c>
      <c r="B13" s="3" t="s">
        <v>21</v>
      </c>
      <c r="C13" s="3" t="s">
        <v>17</v>
      </c>
      <c r="D13" s="3" t="s">
        <v>25</v>
      </c>
      <c r="E13" s="3" t="s">
        <v>16</v>
      </c>
      <c r="F13" s="3">
        <v>5</v>
      </c>
      <c r="G13" s="3">
        <v>84000</v>
      </c>
      <c r="H13" s="3">
        <v>74900</v>
      </c>
      <c r="I13" s="3">
        <f t="shared" si="0"/>
        <v>9100</v>
      </c>
      <c r="K13" s="6"/>
    </row>
    <row r="14" spans="1:11" s="3" customFormat="1" x14ac:dyDescent="0.3">
      <c r="A14" s="3">
        <v>2025</v>
      </c>
      <c r="B14" s="3" t="s">
        <v>26</v>
      </c>
      <c r="C14" s="3" t="s">
        <v>23</v>
      </c>
      <c r="D14" s="3" t="s">
        <v>11</v>
      </c>
      <c r="E14" s="3" t="s">
        <v>19</v>
      </c>
      <c r="F14" s="3">
        <v>5</v>
      </c>
      <c r="G14" s="3">
        <v>23000</v>
      </c>
      <c r="H14" s="3">
        <v>21999</v>
      </c>
      <c r="I14" s="3">
        <f t="shared" si="0"/>
        <v>1001</v>
      </c>
      <c r="K14" s="6"/>
    </row>
    <row r="15" spans="1:11" s="3" customFormat="1" x14ac:dyDescent="0.3">
      <c r="A15" s="3">
        <v>2022</v>
      </c>
      <c r="B15" s="3" t="s">
        <v>26</v>
      </c>
      <c r="C15" s="3" t="s">
        <v>10</v>
      </c>
      <c r="D15" s="3" t="s">
        <v>27</v>
      </c>
      <c r="E15" s="3" t="s">
        <v>22</v>
      </c>
      <c r="F15" s="3">
        <v>5</v>
      </c>
      <c r="G15" s="3">
        <v>15000</v>
      </c>
      <c r="H15" s="3">
        <v>12990</v>
      </c>
      <c r="I15" s="3">
        <f t="shared" si="0"/>
        <v>2010</v>
      </c>
      <c r="K15" s="6"/>
    </row>
    <row r="16" spans="1:11" s="3" customFormat="1" x14ac:dyDescent="0.3">
      <c r="A16" s="3">
        <v>2024</v>
      </c>
      <c r="B16" s="3" t="s">
        <v>28</v>
      </c>
      <c r="C16" s="3" t="s">
        <v>10</v>
      </c>
      <c r="D16" s="3" t="s">
        <v>11</v>
      </c>
      <c r="E16" s="3" t="s">
        <v>12</v>
      </c>
      <c r="F16" s="3">
        <v>5</v>
      </c>
      <c r="G16" s="3">
        <v>38000</v>
      </c>
      <c r="H16" s="3">
        <v>34990</v>
      </c>
      <c r="I16" s="3">
        <f t="shared" si="0"/>
        <v>3010</v>
      </c>
      <c r="K16" s="6"/>
    </row>
    <row r="17" spans="1:11" s="3" customFormat="1" x14ac:dyDescent="0.3">
      <c r="A17" s="3">
        <v>2022</v>
      </c>
      <c r="B17" s="3" t="s">
        <v>28</v>
      </c>
      <c r="C17" s="3" t="s">
        <v>17</v>
      </c>
      <c r="D17" s="3" t="s">
        <v>25</v>
      </c>
      <c r="E17" s="3" t="s">
        <v>15</v>
      </c>
      <c r="F17" s="3">
        <v>3.5</v>
      </c>
      <c r="G17" s="3">
        <v>39990</v>
      </c>
      <c r="H17" s="3">
        <v>31000</v>
      </c>
      <c r="I17" s="3">
        <f t="shared" si="0"/>
        <v>8990</v>
      </c>
      <c r="K17" s="6"/>
    </row>
    <row r="18" spans="1:11" s="3" customFormat="1" x14ac:dyDescent="0.3">
      <c r="A18" s="3">
        <v>2025</v>
      </c>
      <c r="B18" s="3" t="s">
        <v>21</v>
      </c>
      <c r="C18" s="3" t="s">
        <v>23</v>
      </c>
      <c r="D18" s="3" t="s">
        <v>25</v>
      </c>
      <c r="E18" s="3" t="s">
        <v>16</v>
      </c>
      <c r="F18" s="3">
        <v>3.5</v>
      </c>
      <c r="G18" s="3">
        <v>99900</v>
      </c>
      <c r="H18" s="3">
        <v>99900</v>
      </c>
      <c r="I18" s="3">
        <f t="shared" si="0"/>
        <v>0</v>
      </c>
      <c r="K18" s="6"/>
    </row>
    <row r="19" spans="1:11" s="3" customFormat="1" x14ac:dyDescent="0.3">
      <c r="A19" s="3">
        <v>2023</v>
      </c>
      <c r="B19" s="3" t="s">
        <v>9</v>
      </c>
      <c r="C19" s="3" t="s">
        <v>14</v>
      </c>
      <c r="D19" s="3" t="s">
        <v>18</v>
      </c>
      <c r="E19" s="3" t="s">
        <v>19</v>
      </c>
      <c r="F19" s="3">
        <v>4</v>
      </c>
      <c r="G19" s="3">
        <v>12000</v>
      </c>
      <c r="H19" s="3">
        <v>8999</v>
      </c>
      <c r="I19" s="3">
        <f t="shared" si="0"/>
        <v>3001</v>
      </c>
      <c r="K19" s="6"/>
    </row>
    <row r="20" spans="1:11" s="3" customFormat="1" x14ac:dyDescent="0.3">
      <c r="A20" s="3">
        <v>2022</v>
      </c>
      <c r="B20" s="3" t="s">
        <v>9</v>
      </c>
      <c r="C20" s="3" t="s">
        <v>17</v>
      </c>
      <c r="D20" s="3" t="s">
        <v>25</v>
      </c>
      <c r="E20" s="3" t="s">
        <v>22</v>
      </c>
      <c r="F20" s="3">
        <v>4</v>
      </c>
      <c r="G20" s="3">
        <v>15000</v>
      </c>
      <c r="H20" s="3">
        <v>13999</v>
      </c>
      <c r="I20" s="3">
        <f t="shared" si="0"/>
        <v>1001</v>
      </c>
      <c r="K20" s="6"/>
    </row>
    <row r="21" spans="1:11" s="3" customFormat="1" x14ac:dyDescent="0.3">
      <c r="A21" s="3">
        <v>2023</v>
      </c>
      <c r="B21" s="3" t="s">
        <v>29</v>
      </c>
      <c r="C21" s="3" t="s">
        <v>10</v>
      </c>
      <c r="D21" s="3" t="s">
        <v>27</v>
      </c>
      <c r="E21" s="3" t="s">
        <v>12</v>
      </c>
      <c r="F21" s="3">
        <v>4</v>
      </c>
      <c r="G21" s="3">
        <v>9000</v>
      </c>
      <c r="H21" s="3">
        <v>7699</v>
      </c>
      <c r="I21" s="3">
        <f t="shared" si="0"/>
        <v>1301</v>
      </c>
      <c r="K21" s="6"/>
    </row>
    <row r="22" spans="1:11" s="3" customFormat="1" x14ac:dyDescent="0.3">
      <c r="A22" s="3">
        <v>2025</v>
      </c>
      <c r="B22" s="3" t="s">
        <v>28</v>
      </c>
      <c r="C22" s="3" t="s">
        <v>17</v>
      </c>
      <c r="D22" s="3" t="s">
        <v>25</v>
      </c>
      <c r="E22" s="3" t="s">
        <v>15</v>
      </c>
      <c r="F22" s="3">
        <v>3.5</v>
      </c>
      <c r="G22" s="3">
        <v>13000</v>
      </c>
      <c r="H22" s="3">
        <v>9999</v>
      </c>
      <c r="I22" s="3">
        <f t="shared" si="0"/>
        <v>3001</v>
      </c>
      <c r="K22" s="6"/>
    </row>
    <row r="23" spans="1:11" s="3" customFormat="1" x14ac:dyDescent="0.3">
      <c r="A23" s="3">
        <v>2022</v>
      </c>
      <c r="B23" s="3" t="s">
        <v>26</v>
      </c>
      <c r="C23" s="3" t="s">
        <v>10</v>
      </c>
      <c r="D23" s="3" t="s">
        <v>11</v>
      </c>
      <c r="E23" s="3" t="s">
        <v>16</v>
      </c>
      <c r="F23" s="3">
        <v>3.5</v>
      </c>
      <c r="G23" s="3">
        <v>15000</v>
      </c>
      <c r="H23" s="3">
        <v>12990</v>
      </c>
      <c r="I23" s="3">
        <f t="shared" si="0"/>
        <v>2010</v>
      </c>
      <c r="K23" s="6"/>
    </row>
    <row r="24" spans="1:11" s="3" customFormat="1" x14ac:dyDescent="0.3">
      <c r="A24" s="3">
        <v>2023</v>
      </c>
      <c r="B24" s="3" t="s">
        <v>21</v>
      </c>
      <c r="C24" s="3" t="s">
        <v>14</v>
      </c>
      <c r="D24" s="3" t="s">
        <v>27</v>
      </c>
      <c r="E24" s="3" t="s">
        <v>19</v>
      </c>
      <c r="F24" s="3">
        <v>3.5</v>
      </c>
      <c r="G24" s="3">
        <v>5000</v>
      </c>
      <c r="H24" s="3">
        <v>3499</v>
      </c>
      <c r="I24" s="3">
        <f t="shared" si="0"/>
        <v>1501</v>
      </c>
      <c r="K24" s="6"/>
    </row>
    <row r="25" spans="1:11" s="3" customFormat="1" x14ac:dyDescent="0.3">
      <c r="A25" s="3">
        <v>2024</v>
      </c>
      <c r="B25" s="3" t="s">
        <v>26</v>
      </c>
      <c r="C25" s="3" t="s">
        <v>23</v>
      </c>
      <c r="D25" s="3" t="s">
        <v>11</v>
      </c>
      <c r="E25" s="3" t="s">
        <v>22</v>
      </c>
      <c r="F25" s="3">
        <v>5</v>
      </c>
      <c r="G25" s="3">
        <v>28000</v>
      </c>
      <c r="H25" s="3">
        <v>26999</v>
      </c>
      <c r="I25" s="3">
        <f t="shared" si="0"/>
        <v>1001</v>
      </c>
      <c r="K25" s="6"/>
    </row>
    <row r="26" spans="1:11" s="3" customFormat="1" x14ac:dyDescent="0.3">
      <c r="A26" s="3">
        <v>2023</v>
      </c>
      <c r="B26" s="3" t="s">
        <v>26</v>
      </c>
      <c r="C26" s="3" t="s">
        <v>10</v>
      </c>
      <c r="D26" s="3" t="s">
        <v>11</v>
      </c>
      <c r="E26" s="3" t="s">
        <v>19</v>
      </c>
      <c r="F26" s="3">
        <v>5</v>
      </c>
      <c r="G26" s="3">
        <v>12000</v>
      </c>
      <c r="H26" s="3">
        <v>9999</v>
      </c>
      <c r="I26" s="3">
        <f t="shared" si="0"/>
        <v>2001</v>
      </c>
      <c r="K26" s="6"/>
    </row>
    <row r="27" spans="1:11" s="3" customFormat="1" x14ac:dyDescent="0.3">
      <c r="A27" s="3">
        <v>2022</v>
      </c>
      <c r="B27" s="3" t="s">
        <v>26</v>
      </c>
      <c r="C27" s="3" t="s">
        <v>23</v>
      </c>
      <c r="D27" s="3" t="s">
        <v>25</v>
      </c>
      <c r="E27" s="3" t="s">
        <v>22</v>
      </c>
      <c r="F27" s="3">
        <v>5</v>
      </c>
      <c r="G27" s="3">
        <v>21000</v>
      </c>
      <c r="H27" s="3">
        <v>19999</v>
      </c>
      <c r="I27" s="3">
        <f t="shared" si="0"/>
        <v>1001</v>
      </c>
      <c r="K27" s="6"/>
    </row>
    <row r="28" spans="1:11" s="3" customFormat="1" x14ac:dyDescent="0.3">
      <c r="A28" s="3">
        <v>2022</v>
      </c>
      <c r="B28" s="3" t="s">
        <v>21</v>
      </c>
      <c r="C28" s="3" t="s">
        <v>10</v>
      </c>
      <c r="D28" s="3" t="s">
        <v>18</v>
      </c>
      <c r="E28" s="3" t="s">
        <v>12</v>
      </c>
      <c r="F28" s="3">
        <v>4</v>
      </c>
      <c r="G28" s="3">
        <v>7500</v>
      </c>
      <c r="H28" s="3">
        <v>6990</v>
      </c>
      <c r="I28" s="3">
        <f t="shared" si="0"/>
        <v>510</v>
      </c>
      <c r="K28" s="6"/>
    </row>
    <row r="29" spans="1:11" s="3" customFormat="1" x14ac:dyDescent="0.3">
      <c r="A29" s="3">
        <v>2025</v>
      </c>
      <c r="B29" s="3" t="s">
        <v>9</v>
      </c>
      <c r="C29" s="3" t="s">
        <v>10</v>
      </c>
      <c r="D29" s="3" t="s">
        <v>18</v>
      </c>
      <c r="E29" s="3" t="s">
        <v>15</v>
      </c>
      <c r="F29" s="3">
        <v>4</v>
      </c>
      <c r="G29" s="3">
        <v>9500</v>
      </c>
      <c r="H29" s="3">
        <v>7999</v>
      </c>
      <c r="I29" s="3">
        <f t="shared" si="0"/>
        <v>1501</v>
      </c>
      <c r="K29" s="6"/>
    </row>
    <row r="30" spans="1:11" s="3" customFormat="1" x14ac:dyDescent="0.3">
      <c r="A30" s="3">
        <v>2025</v>
      </c>
      <c r="B30" s="3" t="s">
        <v>9</v>
      </c>
      <c r="C30" s="3" t="s">
        <v>23</v>
      </c>
      <c r="D30" s="3" t="s">
        <v>25</v>
      </c>
      <c r="E30" s="3" t="s">
        <v>16</v>
      </c>
      <c r="F30" s="3">
        <v>4.5</v>
      </c>
      <c r="G30" s="3">
        <v>84000</v>
      </c>
      <c r="H30" s="3">
        <v>70000</v>
      </c>
      <c r="I30" s="3">
        <f t="shared" si="0"/>
        <v>14000</v>
      </c>
      <c r="K30" s="6"/>
    </row>
    <row r="31" spans="1:11" s="3" customFormat="1" x14ac:dyDescent="0.3">
      <c r="A31" s="3">
        <v>2025</v>
      </c>
      <c r="B31" s="3" t="s">
        <v>9</v>
      </c>
      <c r="C31" s="3" t="s">
        <v>17</v>
      </c>
      <c r="D31" s="3" t="s">
        <v>11</v>
      </c>
      <c r="E31" s="3" t="s">
        <v>19</v>
      </c>
      <c r="F31" s="3">
        <v>5</v>
      </c>
      <c r="G31" s="3">
        <v>22500</v>
      </c>
      <c r="H31" s="3">
        <v>18199</v>
      </c>
      <c r="I31" s="3">
        <f t="shared" si="0"/>
        <v>4301</v>
      </c>
      <c r="K31" s="6"/>
    </row>
    <row r="32" spans="1:11" s="3" customFormat="1" x14ac:dyDescent="0.3">
      <c r="A32" s="3">
        <v>2022</v>
      </c>
      <c r="B32" s="3" t="s">
        <v>9</v>
      </c>
      <c r="C32" s="3" t="s">
        <v>17</v>
      </c>
      <c r="D32" s="3" t="s">
        <v>25</v>
      </c>
      <c r="E32" s="3" t="s">
        <v>22</v>
      </c>
      <c r="F32" s="3">
        <v>4.5</v>
      </c>
      <c r="G32" s="3">
        <v>22500</v>
      </c>
      <c r="H32" s="3">
        <v>14990</v>
      </c>
      <c r="I32" s="3">
        <f t="shared" si="0"/>
        <v>7510</v>
      </c>
      <c r="K32" s="6"/>
    </row>
    <row r="33" spans="1:11" s="3" customFormat="1" x14ac:dyDescent="0.3">
      <c r="A33" s="3">
        <v>2025</v>
      </c>
      <c r="B33" s="3" t="s">
        <v>9</v>
      </c>
      <c r="C33" s="3" t="s">
        <v>10</v>
      </c>
      <c r="D33" s="3" t="s">
        <v>27</v>
      </c>
      <c r="E33" s="3" t="s">
        <v>12</v>
      </c>
      <c r="F33" s="3">
        <v>4</v>
      </c>
      <c r="G33" s="3">
        <v>11000</v>
      </c>
      <c r="H33" s="3">
        <v>10499</v>
      </c>
      <c r="I33" s="3">
        <f t="shared" si="0"/>
        <v>501</v>
      </c>
      <c r="K33" s="6"/>
    </row>
    <row r="34" spans="1:11" s="3" customFormat="1" x14ac:dyDescent="0.3">
      <c r="A34" s="3">
        <v>2022</v>
      </c>
      <c r="B34" s="3" t="s">
        <v>9</v>
      </c>
      <c r="C34" s="3" t="s">
        <v>10</v>
      </c>
      <c r="D34" s="3" t="s">
        <v>25</v>
      </c>
      <c r="E34" s="3" t="s">
        <v>15</v>
      </c>
      <c r="F34" s="3">
        <v>5</v>
      </c>
      <c r="G34" s="3">
        <v>51000</v>
      </c>
      <c r="H34" s="3">
        <v>49999</v>
      </c>
      <c r="I34" s="3">
        <f t="shared" si="0"/>
        <v>1001</v>
      </c>
      <c r="K34" s="6"/>
    </row>
    <row r="35" spans="1:11" s="3" customFormat="1" x14ac:dyDescent="0.3">
      <c r="A35" s="3">
        <v>2025</v>
      </c>
      <c r="B35" s="3" t="s">
        <v>26</v>
      </c>
      <c r="C35" s="3" t="s">
        <v>10</v>
      </c>
      <c r="D35" s="3" t="s">
        <v>27</v>
      </c>
      <c r="E35" s="3" t="s">
        <v>16</v>
      </c>
      <c r="F35" s="3">
        <v>5</v>
      </c>
      <c r="G35" s="3">
        <v>12000</v>
      </c>
      <c r="H35" s="3">
        <v>8999</v>
      </c>
      <c r="I35" s="3">
        <f t="shared" si="0"/>
        <v>3001</v>
      </c>
      <c r="K35" s="6"/>
    </row>
    <row r="36" spans="1:11" s="3" customFormat="1" x14ac:dyDescent="0.3">
      <c r="A36" s="3">
        <v>2025</v>
      </c>
      <c r="B36" s="3" t="s">
        <v>21</v>
      </c>
      <c r="C36" s="3" t="s">
        <v>17</v>
      </c>
      <c r="D36" s="3" t="s">
        <v>25</v>
      </c>
      <c r="E36" s="3" t="s">
        <v>19</v>
      </c>
      <c r="F36" s="3">
        <v>5</v>
      </c>
      <c r="G36" s="3">
        <v>53000</v>
      </c>
      <c r="H36" s="3">
        <v>49900</v>
      </c>
      <c r="I36" s="3">
        <f t="shared" si="0"/>
        <v>3100</v>
      </c>
      <c r="K36" s="6"/>
    </row>
    <row r="37" spans="1:11" s="3" customFormat="1" x14ac:dyDescent="0.3">
      <c r="A37" s="3">
        <v>2025</v>
      </c>
      <c r="B37" s="3" t="s">
        <v>9</v>
      </c>
      <c r="C37" s="3" t="s">
        <v>10</v>
      </c>
      <c r="D37" s="3" t="s">
        <v>27</v>
      </c>
      <c r="E37" s="3" t="s">
        <v>22</v>
      </c>
      <c r="F37" s="3">
        <v>4</v>
      </c>
      <c r="G37" s="3">
        <v>9000</v>
      </c>
      <c r="H37" s="3">
        <v>6990</v>
      </c>
      <c r="I37" s="3">
        <f t="shared" si="0"/>
        <v>2010</v>
      </c>
      <c r="K37" s="6"/>
    </row>
    <row r="38" spans="1:11" s="3" customFormat="1" x14ac:dyDescent="0.3">
      <c r="A38" s="3">
        <v>2025</v>
      </c>
      <c r="B38" s="3" t="s">
        <v>9</v>
      </c>
      <c r="C38" s="3" t="s">
        <v>10</v>
      </c>
      <c r="D38" s="3" t="s">
        <v>11</v>
      </c>
      <c r="E38" s="3" t="s">
        <v>12</v>
      </c>
      <c r="F38" s="3">
        <v>4</v>
      </c>
      <c r="G38" s="3">
        <v>2800</v>
      </c>
      <c r="H38" s="3">
        <v>2399</v>
      </c>
      <c r="I38" s="3">
        <f t="shared" si="0"/>
        <v>401</v>
      </c>
      <c r="K38" s="6"/>
    </row>
    <row r="39" spans="1:11" s="3" customFormat="1" x14ac:dyDescent="0.3">
      <c r="A39" s="3">
        <v>2024</v>
      </c>
      <c r="B39" s="3" t="s">
        <v>29</v>
      </c>
      <c r="C39" s="3" t="s">
        <v>14</v>
      </c>
      <c r="D39" s="3" t="s">
        <v>27</v>
      </c>
      <c r="E39" s="3" t="s">
        <v>15</v>
      </c>
      <c r="F39" s="3">
        <v>3.5</v>
      </c>
      <c r="G39" s="3">
        <v>38495</v>
      </c>
      <c r="H39" s="3">
        <v>35490</v>
      </c>
      <c r="I39" s="3">
        <f t="shared" si="0"/>
        <v>3005</v>
      </c>
      <c r="K39" s="6"/>
    </row>
    <row r="40" spans="1:11" s="3" customFormat="1" x14ac:dyDescent="0.3">
      <c r="A40" s="3">
        <v>2024</v>
      </c>
      <c r="B40" s="3" t="s">
        <v>26</v>
      </c>
      <c r="C40" s="3" t="s">
        <v>10</v>
      </c>
      <c r="D40" s="3" t="s">
        <v>27</v>
      </c>
      <c r="E40" s="3" t="s">
        <v>19</v>
      </c>
      <c r="F40" s="3">
        <v>5</v>
      </c>
      <c r="G40" s="3">
        <v>32500</v>
      </c>
      <c r="H40" s="3">
        <v>31999</v>
      </c>
      <c r="I40" s="3">
        <f t="shared" si="0"/>
        <v>501</v>
      </c>
      <c r="K40" s="6"/>
    </row>
    <row r="41" spans="1:11" s="3" customFormat="1" x14ac:dyDescent="0.3">
      <c r="A41" s="3">
        <v>2025</v>
      </c>
      <c r="B41" s="3" t="s">
        <v>26</v>
      </c>
      <c r="C41" s="3" t="s">
        <v>10</v>
      </c>
      <c r="D41" s="3" t="s">
        <v>25</v>
      </c>
      <c r="E41" s="3" t="s">
        <v>22</v>
      </c>
      <c r="F41" s="3">
        <v>5</v>
      </c>
      <c r="G41" s="3">
        <v>33500</v>
      </c>
      <c r="H41" s="3">
        <v>31999</v>
      </c>
      <c r="I41" s="3">
        <f t="shared" si="0"/>
        <v>1501</v>
      </c>
      <c r="K41" s="6"/>
    </row>
    <row r="42" spans="1:11" s="3" customFormat="1" x14ac:dyDescent="0.3">
      <c r="A42" s="3">
        <v>2024</v>
      </c>
      <c r="B42" s="3" t="s">
        <v>26</v>
      </c>
      <c r="C42" s="3" t="s">
        <v>17</v>
      </c>
      <c r="D42" s="3" t="s">
        <v>11</v>
      </c>
      <c r="E42" s="3" t="s">
        <v>12</v>
      </c>
      <c r="F42" s="3">
        <v>4.5</v>
      </c>
      <c r="G42" s="3">
        <v>13500</v>
      </c>
      <c r="H42" s="3">
        <v>12999</v>
      </c>
      <c r="I42" s="3">
        <f t="shared" si="0"/>
        <v>501</v>
      </c>
      <c r="K42" s="6"/>
    </row>
    <row r="43" spans="1:11" s="3" customFormat="1" x14ac:dyDescent="0.3">
      <c r="A43" s="3">
        <v>2023</v>
      </c>
      <c r="B43" s="3" t="s">
        <v>28</v>
      </c>
      <c r="C43" s="3" t="s">
        <v>10</v>
      </c>
      <c r="D43" s="3" t="s">
        <v>18</v>
      </c>
      <c r="E43" s="3" t="s">
        <v>15</v>
      </c>
      <c r="F43" s="3">
        <v>5</v>
      </c>
      <c r="G43" s="3">
        <v>12000</v>
      </c>
      <c r="H43" s="3">
        <v>10999</v>
      </c>
      <c r="I43" s="3">
        <f t="shared" si="0"/>
        <v>1001</v>
      </c>
      <c r="K43" s="6"/>
    </row>
    <row r="44" spans="1:11" s="3" customFormat="1" x14ac:dyDescent="0.3">
      <c r="A44" s="3">
        <v>2023</v>
      </c>
      <c r="B44" s="3" t="s">
        <v>28</v>
      </c>
      <c r="C44" s="3" t="s">
        <v>17</v>
      </c>
      <c r="D44" s="3" t="s">
        <v>25</v>
      </c>
      <c r="E44" s="3" t="s">
        <v>19</v>
      </c>
      <c r="F44" s="3">
        <v>4.5</v>
      </c>
      <c r="G44" s="3">
        <v>72000</v>
      </c>
      <c r="H44" s="3">
        <v>69999</v>
      </c>
      <c r="I44" s="3">
        <f t="shared" si="0"/>
        <v>2001</v>
      </c>
      <c r="K44" s="6"/>
    </row>
    <row r="45" spans="1:11" s="3" customFormat="1" x14ac:dyDescent="0.3">
      <c r="A45" s="3">
        <v>2023</v>
      </c>
      <c r="B45" s="3" t="s">
        <v>29</v>
      </c>
      <c r="C45" s="3" t="s">
        <v>10</v>
      </c>
      <c r="D45" s="3" t="s">
        <v>18</v>
      </c>
      <c r="E45" s="3" t="s">
        <v>22</v>
      </c>
      <c r="F45" s="3">
        <v>4</v>
      </c>
      <c r="G45" s="3">
        <v>8000</v>
      </c>
      <c r="H45" s="3">
        <v>6999</v>
      </c>
      <c r="I45" s="3">
        <f t="shared" si="0"/>
        <v>1001</v>
      </c>
      <c r="K45" s="6"/>
    </row>
    <row r="46" spans="1:11" s="3" customFormat="1" x14ac:dyDescent="0.3">
      <c r="A46" s="3">
        <v>2023</v>
      </c>
      <c r="B46" s="3" t="s">
        <v>9</v>
      </c>
      <c r="C46" s="3" t="s">
        <v>10</v>
      </c>
      <c r="D46" s="3" t="s">
        <v>11</v>
      </c>
      <c r="E46" s="3" t="s">
        <v>12</v>
      </c>
      <c r="F46" s="3">
        <v>4</v>
      </c>
      <c r="G46" s="3">
        <v>22550</v>
      </c>
      <c r="H46" s="3">
        <v>22450</v>
      </c>
      <c r="I46" s="3">
        <f t="shared" si="0"/>
        <v>100</v>
      </c>
      <c r="K46" s="6"/>
    </row>
    <row r="47" spans="1:11" s="3" customFormat="1" x14ac:dyDescent="0.3">
      <c r="A47" s="3">
        <v>2024</v>
      </c>
      <c r="B47" s="3" t="s">
        <v>21</v>
      </c>
      <c r="C47" s="3" t="s">
        <v>10</v>
      </c>
      <c r="D47" s="3" t="s">
        <v>25</v>
      </c>
      <c r="E47" s="3" t="s">
        <v>15</v>
      </c>
      <c r="F47" s="3">
        <v>4</v>
      </c>
      <c r="G47" s="3">
        <v>12500</v>
      </c>
      <c r="H47" s="3">
        <v>11999</v>
      </c>
      <c r="I47" s="3">
        <f t="shared" si="0"/>
        <v>501</v>
      </c>
      <c r="K47" s="6"/>
    </row>
    <row r="48" spans="1:11" s="3" customFormat="1" x14ac:dyDescent="0.3">
      <c r="A48" s="3">
        <v>2024</v>
      </c>
      <c r="B48" s="3" t="s">
        <v>26</v>
      </c>
      <c r="C48" s="3" t="s">
        <v>10</v>
      </c>
      <c r="D48" s="3" t="s">
        <v>11</v>
      </c>
      <c r="E48" s="3" t="s">
        <v>12</v>
      </c>
      <c r="F48" s="3">
        <v>5</v>
      </c>
      <c r="G48" s="3">
        <v>36000</v>
      </c>
      <c r="H48" s="3">
        <v>34999</v>
      </c>
      <c r="I48" s="3">
        <f t="shared" si="0"/>
        <v>1001</v>
      </c>
      <c r="K48" s="6"/>
    </row>
    <row r="49" spans="1:11" s="3" customFormat="1" x14ac:dyDescent="0.3">
      <c r="A49" s="3">
        <v>2022</v>
      </c>
      <c r="B49" s="3" t="s">
        <v>9</v>
      </c>
      <c r="C49" s="3" t="s">
        <v>17</v>
      </c>
      <c r="D49" s="3" t="s">
        <v>27</v>
      </c>
      <c r="E49" s="3" t="s">
        <v>15</v>
      </c>
      <c r="F49" s="3">
        <v>5</v>
      </c>
      <c r="G49" s="3">
        <v>23900</v>
      </c>
      <c r="H49" s="3">
        <v>22900</v>
      </c>
      <c r="I49" s="3">
        <f t="shared" si="0"/>
        <v>1000</v>
      </c>
      <c r="K49" s="6"/>
    </row>
    <row r="50" spans="1:11" s="3" customFormat="1" x14ac:dyDescent="0.3">
      <c r="A50" s="3">
        <v>2025</v>
      </c>
      <c r="B50" s="3" t="s">
        <v>26</v>
      </c>
      <c r="C50" s="3" t="s">
        <v>10</v>
      </c>
      <c r="D50" s="3" t="s">
        <v>27</v>
      </c>
      <c r="E50" s="3" t="s">
        <v>19</v>
      </c>
      <c r="F50" s="3">
        <v>5</v>
      </c>
      <c r="G50" s="3">
        <v>9999</v>
      </c>
      <c r="H50" s="3">
        <v>8999</v>
      </c>
      <c r="I50" s="3">
        <f t="shared" si="0"/>
        <v>1000</v>
      </c>
      <c r="K50" s="6"/>
    </row>
    <row r="51" spans="1:11" s="3" customFormat="1" x14ac:dyDescent="0.3">
      <c r="A51" s="3">
        <v>2025</v>
      </c>
      <c r="B51" s="3" t="s">
        <v>21</v>
      </c>
      <c r="C51" s="3" t="s">
        <v>17</v>
      </c>
      <c r="D51" s="3" t="s">
        <v>25</v>
      </c>
      <c r="E51" s="3" t="s">
        <v>22</v>
      </c>
      <c r="F51" s="3">
        <v>5</v>
      </c>
      <c r="G51" s="3">
        <v>64900</v>
      </c>
      <c r="H51" s="3">
        <v>64900</v>
      </c>
      <c r="I51" s="3">
        <f t="shared" si="0"/>
        <v>0</v>
      </c>
      <c r="K51" s="6"/>
    </row>
    <row r="52" spans="1:11" s="3" customFormat="1" x14ac:dyDescent="0.3">
      <c r="A52" s="3">
        <v>2025</v>
      </c>
      <c r="B52" s="3" t="s">
        <v>26</v>
      </c>
      <c r="C52" s="3" t="s">
        <v>17</v>
      </c>
      <c r="D52" s="3" t="s">
        <v>25</v>
      </c>
      <c r="E52" s="3" t="s">
        <v>22</v>
      </c>
      <c r="F52" s="3">
        <v>4.5</v>
      </c>
      <c r="G52" s="3">
        <v>16999</v>
      </c>
      <c r="H52" s="3">
        <v>15999</v>
      </c>
      <c r="I52" s="3">
        <f t="shared" si="0"/>
        <v>1000</v>
      </c>
      <c r="K52" s="6"/>
    </row>
    <row r="53" spans="1:11" s="3" customFormat="1" x14ac:dyDescent="0.3">
      <c r="A53" s="3">
        <v>2025</v>
      </c>
      <c r="B53" s="3" t="s">
        <v>21</v>
      </c>
      <c r="C53" s="3" t="s">
        <v>10</v>
      </c>
      <c r="D53" s="3" t="s">
        <v>11</v>
      </c>
      <c r="E53" s="3" t="s">
        <v>19</v>
      </c>
      <c r="F53" s="3">
        <v>4.5</v>
      </c>
      <c r="G53" s="3">
        <v>42999</v>
      </c>
      <c r="H53" s="3">
        <v>42900</v>
      </c>
      <c r="I53" s="3">
        <f t="shared" si="0"/>
        <v>99</v>
      </c>
      <c r="K53" s="6"/>
    </row>
    <row r="54" spans="1:11" s="3" customFormat="1" x14ac:dyDescent="0.3">
      <c r="A54" s="3">
        <v>2023</v>
      </c>
      <c r="B54" s="3" t="s">
        <v>21</v>
      </c>
      <c r="C54" s="3" t="s">
        <v>10</v>
      </c>
      <c r="D54" s="3" t="s">
        <v>25</v>
      </c>
      <c r="E54" s="3" t="s">
        <v>22</v>
      </c>
      <c r="F54" s="3">
        <v>4.5</v>
      </c>
      <c r="G54" s="3">
        <v>40999</v>
      </c>
      <c r="H54" s="3">
        <v>39900</v>
      </c>
      <c r="I54" s="3">
        <f t="shared" si="0"/>
        <v>1099</v>
      </c>
      <c r="K54" s="6"/>
    </row>
    <row r="55" spans="1:11" s="3" customFormat="1" x14ac:dyDescent="0.3">
      <c r="A55" s="3">
        <v>2024</v>
      </c>
      <c r="B55" s="3" t="s">
        <v>28</v>
      </c>
      <c r="C55" s="3" t="s">
        <v>10</v>
      </c>
      <c r="D55" s="3" t="s">
        <v>27</v>
      </c>
      <c r="E55" s="3" t="s">
        <v>12</v>
      </c>
      <c r="F55" s="3">
        <v>5</v>
      </c>
      <c r="G55" s="3">
        <v>25999</v>
      </c>
      <c r="H55" s="3">
        <v>24999</v>
      </c>
      <c r="I55" s="3">
        <f t="shared" si="0"/>
        <v>1000</v>
      </c>
      <c r="K55" s="6"/>
    </row>
    <row r="56" spans="1:11" s="3" customFormat="1" x14ac:dyDescent="0.3">
      <c r="A56" s="3">
        <v>2025</v>
      </c>
      <c r="B56" s="3" t="s">
        <v>21</v>
      </c>
      <c r="C56" s="3" t="s">
        <v>17</v>
      </c>
      <c r="D56" s="3" t="s">
        <v>25</v>
      </c>
      <c r="E56" s="3" t="s">
        <v>15</v>
      </c>
      <c r="F56" s="3">
        <v>5</v>
      </c>
      <c r="G56" s="3">
        <v>66999</v>
      </c>
      <c r="H56" s="3">
        <v>64900</v>
      </c>
      <c r="I56" s="3">
        <f t="shared" si="0"/>
        <v>2099</v>
      </c>
      <c r="K56" s="6"/>
    </row>
    <row r="57" spans="1:11" s="3" customFormat="1" x14ac:dyDescent="0.3">
      <c r="A57" s="3">
        <v>2024</v>
      </c>
      <c r="B57" s="3" t="s">
        <v>9</v>
      </c>
      <c r="C57" s="3" t="s">
        <v>10</v>
      </c>
      <c r="D57" s="3" t="s">
        <v>18</v>
      </c>
      <c r="E57" s="3" t="s">
        <v>12</v>
      </c>
      <c r="F57" s="3">
        <v>3.5</v>
      </c>
      <c r="G57" s="3">
        <v>8999</v>
      </c>
      <c r="H57" s="3">
        <v>7999</v>
      </c>
      <c r="I57" s="3">
        <f t="shared" si="0"/>
        <v>1000</v>
      </c>
      <c r="K57" s="6"/>
    </row>
    <row r="58" spans="1:11" s="3" customFormat="1" x14ac:dyDescent="0.3">
      <c r="A58" s="3">
        <v>2023</v>
      </c>
      <c r="B58" s="3" t="s">
        <v>26</v>
      </c>
      <c r="C58" s="3" t="s">
        <v>10</v>
      </c>
      <c r="D58" s="3" t="s">
        <v>11</v>
      </c>
      <c r="E58" s="3" t="s">
        <v>15</v>
      </c>
      <c r="F58" s="3">
        <v>5</v>
      </c>
      <c r="G58" s="3">
        <v>39456</v>
      </c>
      <c r="H58" s="3">
        <v>37990</v>
      </c>
      <c r="I58" s="3">
        <f t="shared" si="0"/>
        <v>1466</v>
      </c>
      <c r="K58" s="6"/>
    </row>
    <row r="59" spans="1:11" s="3" customFormat="1" x14ac:dyDescent="0.3">
      <c r="A59" s="3">
        <v>2024</v>
      </c>
      <c r="B59" s="3" t="s">
        <v>26</v>
      </c>
      <c r="C59" s="3" t="s">
        <v>10</v>
      </c>
      <c r="D59" s="3" t="s">
        <v>25</v>
      </c>
      <c r="E59" s="3" t="s">
        <v>19</v>
      </c>
      <c r="F59" s="3">
        <v>5</v>
      </c>
      <c r="G59" s="3">
        <v>39258</v>
      </c>
      <c r="H59" s="3">
        <v>37990</v>
      </c>
      <c r="I59" s="3">
        <f t="shared" si="0"/>
        <v>1268</v>
      </c>
      <c r="K59" s="6"/>
    </row>
    <row r="60" spans="1:11" s="3" customFormat="1" x14ac:dyDescent="0.3">
      <c r="A60" s="3">
        <v>2025</v>
      </c>
      <c r="B60" s="3" t="s">
        <v>9</v>
      </c>
      <c r="C60" s="3" t="s">
        <v>23</v>
      </c>
      <c r="D60" s="3" t="s">
        <v>11</v>
      </c>
      <c r="E60" s="3" t="s">
        <v>22</v>
      </c>
      <c r="F60" s="3">
        <v>5</v>
      </c>
      <c r="G60" s="3">
        <v>74100</v>
      </c>
      <c r="H60" s="3">
        <v>73990</v>
      </c>
      <c r="I60" s="3">
        <f t="shared" si="0"/>
        <v>110</v>
      </c>
      <c r="K60" s="6"/>
    </row>
    <row r="61" spans="1:11" s="3" customFormat="1" x14ac:dyDescent="0.3">
      <c r="A61" s="3">
        <v>2024</v>
      </c>
      <c r="B61" s="3" t="s">
        <v>26</v>
      </c>
      <c r="C61" s="3" t="s">
        <v>17</v>
      </c>
      <c r="D61" s="3" t="s">
        <v>25</v>
      </c>
      <c r="E61" s="3" t="s">
        <v>22</v>
      </c>
      <c r="F61" s="3">
        <v>5</v>
      </c>
      <c r="G61" s="3">
        <v>14999</v>
      </c>
      <c r="H61" s="3">
        <v>13999</v>
      </c>
      <c r="I61" s="3">
        <f t="shared" si="0"/>
        <v>1000</v>
      </c>
      <c r="K61" s="6"/>
    </row>
    <row r="62" spans="1:11" s="3" customFormat="1" x14ac:dyDescent="0.3">
      <c r="A62" s="3">
        <v>2023</v>
      </c>
      <c r="B62" s="3" t="s">
        <v>9</v>
      </c>
      <c r="C62" s="3" t="s">
        <v>17</v>
      </c>
      <c r="D62" s="3" t="s">
        <v>27</v>
      </c>
      <c r="E62" s="3" t="s">
        <v>19</v>
      </c>
      <c r="F62" s="3">
        <v>3.5</v>
      </c>
      <c r="G62" s="3">
        <v>8520</v>
      </c>
      <c r="H62" s="3">
        <v>7580</v>
      </c>
      <c r="I62" s="3">
        <f t="shared" si="0"/>
        <v>940</v>
      </c>
      <c r="K62" s="6"/>
    </row>
    <row r="63" spans="1:11" s="3" customFormat="1" x14ac:dyDescent="0.3">
      <c r="A63" s="3">
        <v>2024</v>
      </c>
      <c r="B63" s="3" t="s">
        <v>9</v>
      </c>
      <c r="C63" s="3" t="s">
        <v>17</v>
      </c>
      <c r="D63" s="3" t="s">
        <v>27</v>
      </c>
      <c r="E63" s="3" t="s">
        <v>22</v>
      </c>
      <c r="F63" s="3">
        <v>4</v>
      </c>
      <c r="G63" s="3">
        <v>62500</v>
      </c>
      <c r="H63" s="3">
        <v>61988</v>
      </c>
      <c r="I63" s="3">
        <f t="shared" si="0"/>
        <v>512</v>
      </c>
      <c r="K63" s="6"/>
    </row>
    <row r="64" spans="1:11" s="3" customFormat="1" x14ac:dyDescent="0.3">
      <c r="A64" s="3">
        <v>2024</v>
      </c>
      <c r="B64" s="3" t="s">
        <v>28</v>
      </c>
      <c r="C64" s="3" t="s">
        <v>10</v>
      </c>
      <c r="D64" s="3" t="s">
        <v>18</v>
      </c>
      <c r="E64" s="3" t="s">
        <v>12</v>
      </c>
      <c r="F64" s="3">
        <v>3.5</v>
      </c>
      <c r="G64" s="3">
        <v>10200</v>
      </c>
      <c r="H64" s="3">
        <v>9990</v>
      </c>
      <c r="I64" s="3">
        <f t="shared" si="0"/>
        <v>210</v>
      </c>
      <c r="K64" s="6"/>
    </row>
    <row r="65" spans="1:11" s="3" customFormat="1" x14ac:dyDescent="0.3">
      <c r="A65" s="3">
        <v>2023</v>
      </c>
      <c r="B65" s="3" t="s">
        <v>26</v>
      </c>
      <c r="C65" s="3" t="s">
        <v>10</v>
      </c>
      <c r="D65" s="3" t="s">
        <v>27</v>
      </c>
      <c r="E65" s="3" t="s">
        <v>15</v>
      </c>
      <c r="F65" s="3">
        <v>5</v>
      </c>
      <c r="G65" s="3">
        <v>12000</v>
      </c>
      <c r="H65" s="3">
        <v>10999</v>
      </c>
      <c r="I65" s="3">
        <f t="shared" si="0"/>
        <v>1001</v>
      </c>
      <c r="K65" s="6"/>
    </row>
    <row r="66" spans="1:11" s="3" customFormat="1" x14ac:dyDescent="0.3">
      <c r="A66" s="3">
        <v>2023</v>
      </c>
      <c r="B66" s="3" t="s">
        <v>21</v>
      </c>
      <c r="C66" s="3" t="s">
        <v>10</v>
      </c>
      <c r="D66" s="3" t="s">
        <v>18</v>
      </c>
      <c r="E66" s="3" t="s">
        <v>12</v>
      </c>
      <c r="F66" s="3">
        <v>5</v>
      </c>
      <c r="G66" s="3">
        <v>12999</v>
      </c>
      <c r="H66" s="3">
        <v>11999</v>
      </c>
      <c r="I66" s="3">
        <f t="shared" si="0"/>
        <v>1000</v>
      </c>
      <c r="K66" s="6"/>
    </row>
    <row r="67" spans="1:11" s="3" customFormat="1" x14ac:dyDescent="0.3">
      <c r="A67" s="3">
        <v>2024</v>
      </c>
      <c r="B67" s="3" t="s">
        <v>29</v>
      </c>
      <c r="C67" s="3" t="s">
        <v>10</v>
      </c>
      <c r="D67" s="3" t="s">
        <v>11</v>
      </c>
      <c r="E67" s="3" t="s">
        <v>15</v>
      </c>
      <c r="F67" s="3">
        <v>4</v>
      </c>
      <c r="G67" s="3">
        <v>38800</v>
      </c>
      <c r="H67" s="3">
        <v>37490</v>
      </c>
      <c r="I67" s="3">
        <f t="shared" si="0"/>
        <v>1310</v>
      </c>
      <c r="K67" s="6"/>
    </row>
    <row r="68" spans="1:11" s="3" customFormat="1" x14ac:dyDescent="0.3">
      <c r="A68" s="3">
        <v>2023</v>
      </c>
      <c r="B68" s="3" t="s">
        <v>28</v>
      </c>
      <c r="C68" s="3" t="s">
        <v>17</v>
      </c>
      <c r="D68" s="3" t="s">
        <v>27</v>
      </c>
      <c r="E68" s="3" t="s">
        <v>19</v>
      </c>
      <c r="F68" s="3">
        <v>4</v>
      </c>
      <c r="G68" s="3">
        <v>36522</v>
      </c>
      <c r="H68" s="3">
        <v>26999</v>
      </c>
      <c r="I68" s="3">
        <f t="shared" ref="I68:I75" si="1">G68-H68</f>
        <v>9523</v>
      </c>
      <c r="K68" s="6"/>
    </row>
    <row r="69" spans="1:11" s="3" customFormat="1" x14ac:dyDescent="0.3">
      <c r="A69" s="3">
        <v>2023</v>
      </c>
      <c r="B69" s="3" t="s">
        <v>26</v>
      </c>
      <c r="C69" s="3" t="s">
        <v>23</v>
      </c>
      <c r="D69" s="3" t="s">
        <v>25</v>
      </c>
      <c r="E69" s="3" t="s">
        <v>22</v>
      </c>
      <c r="F69" s="3">
        <v>5</v>
      </c>
      <c r="G69" s="3">
        <v>18333</v>
      </c>
      <c r="H69" s="3">
        <v>17999</v>
      </c>
      <c r="I69" s="3">
        <f t="shared" si="1"/>
        <v>334</v>
      </c>
      <c r="K69" s="6"/>
    </row>
    <row r="70" spans="1:11" s="3" customFormat="1" x14ac:dyDescent="0.3">
      <c r="A70" s="3">
        <v>2023</v>
      </c>
      <c r="B70" s="3" t="s">
        <v>29</v>
      </c>
      <c r="C70" s="3" t="s">
        <v>17</v>
      </c>
      <c r="D70" s="3" t="s">
        <v>25</v>
      </c>
      <c r="E70" s="3" t="s">
        <v>22</v>
      </c>
      <c r="F70" s="3">
        <v>5</v>
      </c>
      <c r="G70" s="3">
        <v>15999</v>
      </c>
      <c r="H70" s="3">
        <v>14999</v>
      </c>
      <c r="I70" s="3">
        <f t="shared" si="1"/>
        <v>1000</v>
      </c>
      <c r="K70" s="6"/>
    </row>
    <row r="71" spans="1:11" s="3" customFormat="1" x14ac:dyDescent="0.3">
      <c r="A71" s="3">
        <v>2024</v>
      </c>
      <c r="B71" s="3" t="s">
        <v>26</v>
      </c>
      <c r="C71" s="3" t="s">
        <v>17</v>
      </c>
      <c r="D71" s="3" t="s">
        <v>25</v>
      </c>
      <c r="E71" s="3" t="s">
        <v>19</v>
      </c>
      <c r="F71" s="3">
        <v>5</v>
      </c>
      <c r="G71" s="3">
        <v>16953</v>
      </c>
      <c r="H71" s="3">
        <v>15990</v>
      </c>
      <c r="I71" s="3">
        <f t="shared" si="1"/>
        <v>963</v>
      </c>
      <c r="K71" s="6"/>
    </row>
    <row r="72" spans="1:11" s="3" customFormat="1" x14ac:dyDescent="0.3">
      <c r="A72" s="3">
        <v>2025</v>
      </c>
      <c r="B72" s="3" t="s">
        <v>26</v>
      </c>
      <c r="C72" s="3" t="s">
        <v>10</v>
      </c>
      <c r="D72" s="3" t="s">
        <v>18</v>
      </c>
      <c r="E72" s="3" t="s">
        <v>22</v>
      </c>
      <c r="F72" s="3">
        <v>4</v>
      </c>
      <c r="G72" s="3">
        <v>17666</v>
      </c>
      <c r="H72" s="3">
        <v>15739</v>
      </c>
      <c r="I72" s="3">
        <f t="shared" si="1"/>
        <v>1927</v>
      </c>
      <c r="K72" s="6"/>
    </row>
    <row r="73" spans="1:11" s="3" customFormat="1" x14ac:dyDescent="0.3">
      <c r="A73" s="3">
        <v>2025</v>
      </c>
      <c r="B73" s="3" t="s">
        <v>29</v>
      </c>
      <c r="C73" s="3" t="s">
        <v>10</v>
      </c>
      <c r="D73" s="3" t="s">
        <v>27</v>
      </c>
      <c r="E73" s="3" t="s">
        <v>12</v>
      </c>
      <c r="F73" s="3">
        <v>3.5</v>
      </c>
      <c r="G73" s="3">
        <v>39000</v>
      </c>
      <c r="H73" s="3">
        <v>38800</v>
      </c>
      <c r="I73" s="3">
        <f t="shared" si="1"/>
        <v>200</v>
      </c>
      <c r="K73" s="6"/>
    </row>
    <row r="74" spans="1:11" s="3" customFormat="1" x14ac:dyDescent="0.3">
      <c r="A74" s="3">
        <v>2025</v>
      </c>
      <c r="B74" s="3" t="s">
        <v>9</v>
      </c>
      <c r="C74" s="3" t="s">
        <v>17</v>
      </c>
      <c r="D74" s="3" t="s">
        <v>11</v>
      </c>
      <c r="E74" s="3" t="s">
        <v>15</v>
      </c>
      <c r="F74" s="3">
        <v>5</v>
      </c>
      <c r="G74" s="3">
        <v>25900</v>
      </c>
      <c r="H74" s="3">
        <v>16590</v>
      </c>
      <c r="I74" s="3">
        <f t="shared" si="1"/>
        <v>9310</v>
      </c>
      <c r="K74" s="6"/>
    </row>
    <row r="75" spans="1:11" s="3" customFormat="1" x14ac:dyDescent="0.3">
      <c r="A75" s="3">
        <v>2022</v>
      </c>
      <c r="B75" s="3" t="s">
        <v>29</v>
      </c>
      <c r="C75" s="3" t="s">
        <v>23</v>
      </c>
      <c r="D75" s="3" t="s">
        <v>11</v>
      </c>
      <c r="E75" s="3" t="s">
        <v>12</v>
      </c>
      <c r="F75" s="3">
        <v>4</v>
      </c>
      <c r="G75" s="3">
        <v>27999</v>
      </c>
      <c r="H75" s="3">
        <v>27995</v>
      </c>
      <c r="I75" s="3">
        <f t="shared" si="1"/>
        <v>4</v>
      </c>
      <c r="K75" s="6"/>
    </row>
    <row r="76" spans="1:11" s="3" customFormat="1" x14ac:dyDescent="0.3">
      <c r="K76" s="6"/>
    </row>
    <row r="77" spans="1:11" s="3" customFormat="1" x14ac:dyDescent="0.3">
      <c r="K77" s="6"/>
    </row>
    <row r="78" spans="1:11" s="3" customFormat="1" x14ac:dyDescent="0.3">
      <c r="K78" s="6"/>
    </row>
    <row r="79" spans="1:11" s="3" customFormat="1" x14ac:dyDescent="0.3">
      <c r="K79" s="6"/>
    </row>
    <row r="80" spans="1:11" s="3" customFormat="1" x14ac:dyDescent="0.3">
      <c r="K80" s="6"/>
    </row>
    <row r="81" spans="11:11" s="3" customFormat="1" x14ac:dyDescent="0.3">
      <c r="K81" s="6"/>
    </row>
    <row r="82" spans="11:11" s="3" customFormat="1" x14ac:dyDescent="0.3">
      <c r="K82" s="6"/>
    </row>
    <row r="83" spans="11:11" s="3" customFormat="1" x14ac:dyDescent="0.3">
      <c r="K83" s="6"/>
    </row>
    <row r="84" spans="11:11" s="3" customFormat="1" x14ac:dyDescent="0.3">
      <c r="K84" s="6"/>
    </row>
    <row r="85" spans="11:11" s="3" customFormat="1" x14ac:dyDescent="0.3">
      <c r="K85" s="6"/>
    </row>
    <row r="86" spans="11:11" s="3" customFormat="1" x14ac:dyDescent="0.3">
      <c r="K86" s="6"/>
    </row>
    <row r="87" spans="11:11" s="3" customFormat="1" x14ac:dyDescent="0.3">
      <c r="K87" s="6"/>
    </row>
    <row r="88" spans="11:11" s="3" customFormat="1" x14ac:dyDescent="0.3">
      <c r="K88" s="6"/>
    </row>
    <row r="89" spans="11:11" s="3" customFormat="1" x14ac:dyDescent="0.3">
      <c r="K89" s="6"/>
    </row>
    <row r="90" spans="11:11" s="3" customFormat="1" x14ac:dyDescent="0.3">
      <c r="K90" s="6"/>
    </row>
    <row r="91" spans="11:11" s="3" customFormat="1" x14ac:dyDescent="0.3">
      <c r="K91" s="6"/>
    </row>
    <row r="92" spans="11:11" s="3" customFormat="1" x14ac:dyDescent="0.3">
      <c r="K92" s="6"/>
    </row>
    <row r="93" spans="11:11" s="3" customFormat="1" x14ac:dyDescent="0.3">
      <c r="K93" s="6"/>
    </row>
    <row r="94" spans="11:11" s="3" customFormat="1" x14ac:dyDescent="0.3">
      <c r="K94" s="6"/>
    </row>
    <row r="95" spans="11:11" s="3" customFormat="1" x14ac:dyDescent="0.3">
      <c r="K95" s="6"/>
    </row>
    <row r="96" spans="11:11" s="3" customFormat="1" x14ac:dyDescent="0.3">
      <c r="K96" s="6"/>
    </row>
    <row r="97" spans="11:11" s="3" customFormat="1" x14ac:dyDescent="0.3">
      <c r="K97" s="6"/>
    </row>
    <row r="98" spans="11:11" s="3" customFormat="1" x14ac:dyDescent="0.3">
      <c r="K98" s="6"/>
    </row>
    <row r="99" spans="11:11" s="3" customFormat="1" x14ac:dyDescent="0.3">
      <c r="K99" s="6"/>
    </row>
    <row r="100" spans="11:11" s="3" customFormat="1" x14ac:dyDescent="0.3">
      <c r="K100" s="6"/>
    </row>
    <row r="101" spans="11:11" s="3" customFormat="1" x14ac:dyDescent="0.3">
      <c r="K101" s="6"/>
    </row>
    <row r="102" spans="11:11" s="3" customFormat="1" x14ac:dyDescent="0.3">
      <c r="K102" s="6"/>
    </row>
    <row r="103" spans="11:11" s="3" customFormat="1" x14ac:dyDescent="0.3">
      <c r="K103" s="6"/>
    </row>
    <row r="104" spans="11:11" s="3" customFormat="1" x14ac:dyDescent="0.3">
      <c r="K104" s="6"/>
    </row>
    <row r="105" spans="11:11" s="3" customFormat="1" x14ac:dyDescent="0.3">
      <c r="K105" s="6"/>
    </row>
    <row r="106" spans="11:11" s="3" customFormat="1" x14ac:dyDescent="0.3">
      <c r="K106" s="6"/>
    </row>
    <row r="107" spans="11:11" s="3" customFormat="1" x14ac:dyDescent="0.3">
      <c r="K107" s="6"/>
    </row>
    <row r="108" spans="11:11" s="3" customFormat="1" x14ac:dyDescent="0.3">
      <c r="K108" s="6"/>
    </row>
    <row r="109" spans="11:11" s="3" customFormat="1" x14ac:dyDescent="0.3">
      <c r="K109" s="6"/>
    </row>
    <row r="110" spans="11:11" s="3" customFormat="1" x14ac:dyDescent="0.3">
      <c r="K110" s="6"/>
    </row>
    <row r="111" spans="11:11" s="3" customFormat="1" x14ac:dyDescent="0.3">
      <c r="K111" s="6"/>
    </row>
    <row r="112" spans="11:11" s="3" customFormat="1" x14ac:dyDescent="0.3">
      <c r="K112" s="6"/>
    </row>
    <row r="113" spans="11:11" s="3" customFormat="1" x14ac:dyDescent="0.3">
      <c r="K113" s="6"/>
    </row>
    <row r="114" spans="11:11" s="3" customFormat="1" x14ac:dyDescent="0.3">
      <c r="K114" s="6"/>
    </row>
    <row r="115" spans="11:11" s="3" customFormat="1" x14ac:dyDescent="0.3">
      <c r="K115" s="6"/>
    </row>
    <row r="116" spans="11:11" s="3" customFormat="1" x14ac:dyDescent="0.3">
      <c r="K116" s="6"/>
    </row>
    <row r="117" spans="11:11" s="3" customFormat="1" x14ac:dyDescent="0.3">
      <c r="K117" s="6"/>
    </row>
    <row r="118" spans="11:11" s="3" customFormat="1" x14ac:dyDescent="0.3">
      <c r="K118" s="6"/>
    </row>
    <row r="119" spans="11:11" s="3" customFormat="1" x14ac:dyDescent="0.3">
      <c r="K119" s="6"/>
    </row>
    <row r="120" spans="11:11" s="3" customFormat="1" x14ac:dyDescent="0.3">
      <c r="K120" s="6"/>
    </row>
    <row r="121" spans="11:11" s="3" customFormat="1" x14ac:dyDescent="0.3">
      <c r="K121" s="6"/>
    </row>
    <row r="122" spans="11:11" s="3" customFormat="1" x14ac:dyDescent="0.3">
      <c r="K122" s="6"/>
    </row>
    <row r="123" spans="11:11" s="3" customFormat="1" x14ac:dyDescent="0.3">
      <c r="K123" s="6"/>
    </row>
    <row r="124" spans="11:11" s="3" customFormat="1" x14ac:dyDescent="0.3">
      <c r="K124" s="6"/>
    </row>
    <row r="125" spans="11:11" s="3" customFormat="1" x14ac:dyDescent="0.3">
      <c r="K125" s="6"/>
    </row>
    <row r="126" spans="11:11" s="3" customFormat="1" x14ac:dyDescent="0.3">
      <c r="K126" s="6"/>
    </row>
    <row r="127" spans="11:11" s="3" customFormat="1" x14ac:dyDescent="0.3">
      <c r="K127" s="6"/>
    </row>
    <row r="128" spans="11:11" s="3" customFormat="1" x14ac:dyDescent="0.3">
      <c r="K128" s="6"/>
    </row>
    <row r="129" spans="11:11" s="3" customFormat="1" x14ac:dyDescent="0.3">
      <c r="K129" s="6"/>
    </row>
    <row r="130" spans="11:11" s="3" customFormat="1" x14ac:dyDescent="0.3">
      <c r="K130" s="6"/>
    </row>
    <row r="131" spans="11:11" s="3" customFormat="1" x14ac:dyDescent="0.3">
      <c r="K131" s="6"/>
    </row>
    <row r="132" spans="11:11" s="3" customFormat="1" x14ac:dyDescent="0.3">
      <c r="K132" s="6"/>
    </row>
    <row r="133" spans="11:11" s="3" customFormat="1" x14ac:dyDescent="0.3">
      <c r="K133" s="6"/>
    </row>
    <row r="134" spans="11:11" s="3" customFormat="1" x14ac:dyDescent="0.3">
      <c r="K134" s="6"/>
    </row>
    <row r="135" spans="11:11" s="3" customFormat="1" x14ac:dyDescent="0.3">
      <c r="K135" s="6"/>
    </row>
    <row r="136" spans="11:11" s="3" customFormat="1" x14ac:dyDescent="0.3">
      <c r="K136" s="6"/>
    </row>
    <row r="137" spans="11:11" s="3" customFormat="1" x14ac:dyDescent="0.3">
      <c r="K137" s="6"/>
    </row>
    <row r="138" spans="11:11" s="3" customFormat="1" x14ac:dyDescent="0.3">
      <c r="K138" s="6"/>
    </row>
    <row r="139" spans="11:11" s="3" customFormat="1" x14ac:dyDescent="0.3">
      <c r="K139" s="6"/>
    </row>
    <row r="140" spans="11:11" s="3" customFormat="1" x14ac:dyDescent="0.3">
      <c r="K140" s="6"/>
    </row>
    <row r="141" spans="11:11" s="3" customFormat="1" x14ac:dyDescent="0.3">
      <c r="K141" s="6"/>
    </row>
    <row r="142" spans="11:11" s="3" customFormat="1" x14ac:dyDescent="0.3">
      <c r="K142" s="6"/>
    </row>
    <row r="143" spans="11:11" s="3" customFormat="1" x14ac:dyDescent="0.3">
      <c r="K143" s="6"/>
    </row>
    <row r="144" spans="11:11" s="3" customFormat="1" x14ac:dyDescent="0.3">
      <c r="K144" s="6"/>
    </row>
    <row r="145" spans="11:11" s="3" customFormat="1" x14ac:dyDescent="0.3">
      <c r="K145" s="6"/>
    </row>
    <row r="146" spans="11:11" s="3" customFormat="1" x14ac:dyDescent="0.3">
      <c r="K146" s="6"/>
    </row>
    <row r="147" spans="11:11" s="3" customFormat="1" x14ac:dyDescent="0.3">
      <c r="K147" s="6"/>
    </row>
    <row r="148" spans="11:11" s="3" customFormat="1" x14ac:dyDescent="0.3">
      <c r="K148" s="6"/>
    </row>
    <row r="149" spans="11:11" s="3" customFormat="1" x14ac:dyDescent="0.3">
      <c r="K149" s="6"/>
    </row>
    <row r="150" spans="11:11" s="3" customFormat="1" x14ac:dyDescent="0.3">
      <c r="K150" s="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960BA-F249-4D52-93A0-8A4754BF9C9B}">
  <dimension ref="A3:S10"/>
  <sheetViews>
    <sheetView workbookViewId="0">
      <selection sqref="A1:XFD208"/>
    </sheetView>
  </sheetViews>
  <sheetFormatPr defaultRowHeight="14.4" x14ac:dyDescent="0.3"/>
  <cols>
    <col min="1" max="1" width="13.77734375" bestFit="1" customWidth="1"/>
    <col min="2" max="2" width="12.109375" bestFit="1" customWidth="1"/>
    <col min="4" max="4" width="12.5546875" bestFit="1" customWidth="1"/>
    <col min="5" max="5" width="17.6640625" bestFit="1" customWidth="1"/>
    <col min="7" max="7" width="13.77734375" bestFit="1" customWidth="1"/>
    <col min="8" max="8" width="12.77734375" bestFit="1" customWidth="1"/>
    <col min="10" max="10" width="12.5546875" bestFit="1" customWidth="1"/>
    <col min="11" max="11" width="18.6640625" bestFit="1" customWidth="1"/>
    <col min="12" max="12" width="17.6640625" bestFit="1" customWidth="1"/>
    <col min="14" max="14" width="17.6640625" bestFit="1" customWidth="1"/>
    <col min="15" max="15" width="15.5546875" bestFit="1" customWidth="1"/>
    <col min="16" max="16" width="8" bestFit="1" customWidth="1"/>
    <col min="17" max="18" width="7" bestFit="1" customWidth="1"/>
    <col min="19" max="19" width="10.77734375" bestFit="1" customWidth="1"/>
  </cols>
  <sheetData>
    <row r="3" spans="1:19" x14ac:dyDescent="0.3">
      <c r="A3" s="7" t="s">
        <v>30</v>
      </c>
      <c r="B3" t="s">
        <v>32</v>
      </c>
      <c r="D3" s="7" t="s">
        <v>30</v>
      </c>
      <c r="E3" t="s">
        <v>31</v>
      </c>
      <c r="G3" s="7" t="s">
        <v>30</v>
      </c>
      <c r="H3" t="s">
        <v>34</v>
      </c>
      <c r="J3" s="7" t="s">
        <v>30</v>
      </c>
      <c r="K3" t="s">
        <v>33</v>
      </c>
      <c r="L3" t="s">
        <v>31</v>
      </c>
      <c r="N3" s="7" t="s">
        <v>31</v>
      </c>
      <c r="O3" s="7" t="s">
        <v>35</v>
      </c>
    </row>
    <row r="4" spans="1:19" x14ac:dyDescent="0.3">
      <c r="A4" s="8" t="s">
        <v>22</v>
      </c>
      <c r="B4">
        <v>26339</v>
      </c>
      <c r="D4" s="8" t="s">
        <v>21</v>
      </c>
      <c r="E4">
        <v>701639</v>
      </c>
      <c r="G4" s="8" t="s">
        <v>22</v>
      </c>
      <c r="H4">
        <v>83.5</v>
      </c>
      <c r="J4" s="8" t="s">
        <v>21</v>
      </c>
      <c r="K4">
        <v>661085</v>
      </c>
      <c r="L4">
        <v>701639</v>
      </c>
      <c r="N4" s="7" t="s">
        <v>30</v>
      </c>
      <c r="O4" t="s">
        <v>11</v>
      </c>
      <c r="P4" t="s">
        <v>25</v>
      </c>
      <c r="Q4" t="s">
        <v>27</v>
      </c>
      <c r="R4" t="s">
        <v>18</v>
      </c>
      <c r="S4" t="s">
        <v>13</v>
      </c>
    </row>
    <row r="5" spans="1:19" x14ac:dyDescent="0.3">
      <c r="A5" s="8" t="s">
        <v>16</v>
      </c>
      <c r="B5">
        <v>37210</v>
      </c>
      <c r="D5" s="8" t="s">
        <v>26</v>
      </c>
      <c r="E5">
        <v>463161</v>
      </c>
      <c r="G5" s="8" t="s">
        <v>16</v>
      </c>
      <c r="H5">
        <v>31.5</v>
      </c>
      <c r="J5" s="8" t="s">
        <v>26</v>
      </c>
      <c r="K5">
        <v>434872</v>
      </c>
      <c r="L5">
        <v>463161</v>
      </c>
      <c r="N5" s="8" t="s">
        <v>22</v>
      </c>
      <c r="O5">
        <v>102100</v>
      </c>
      <c r="P5">
        <v>316451</v>
      </c>
      <c r="Q5">
        <v>86500</v>
      </c>
      <c r="R5">
        <v>25666</v>
      </c>
      <c r="S5">
        <v>530717</v>
      </c>
    </row>
    <row r="6" spans="1:19" x14ac:dyDescent="0.3">
      <c r="A6" s="8" t="s">
        <v>15</v>
      </c>
      <c r="B6">
        <v>47553</v>
      </c>
      <c r="D6" s="8" t="s">
        <v>29</v>
      </c>
      <c r="E6">
        <v>202293</v>
      </c>
      <c r="G6" s="8" t="s">
        <v>15</v>
      </c>
      <c r="H6">
        <v>68.5</v>
      </c>
      <c r="J6" s="8" t="s">
        <v>29</v>
      </c>
      <c r="K6">
        <v>192471</v>
      </c>
      <c r="L6">
        <v>202293</v>
      </c>
      <c r="N6" s="8" t="s">
        <v>16</v>
      </c>
      <c r="O6">
        <v>15000</v>
      </c>
      <c r="P6">
        <v>322899</v>
      </c>
      <c r="Q6">
        <v>12000</v>
      </c>
      <c r="R6">
        <v>9999</v>
      </c>
      <c r="S6">
        <v>359898</v>
      </c>
    </row>
    <row r="7" spans="1:19" x14ac:dyDescent="0.3">
      <c r="A7" s="8" t="s">
        <v>12</v>
      </c>
      <c r="B7">
        <v>15954</v>
      </c>
      <c r="D7" s="8" t="s">
        <v>9</v>
      </c>
      <c r="E7">
        <v>523769</v>
      </c>
      <c r="G7" s="8" t="s">
        <v>12</v>
      </c>
      <c r="H7">
        <v>73</v>
      </c>
      <c r="J7" s="8" t="s">
        <v>9</v>
      </c>
      <c r="K7">
        <v>471314</v>
      </c>
      <c r="L7">
        <v>523769</v>
      </c>
      <c r="N7" s="8" t="s">
        <v>15</v>
      </c>
      <c r="O7">
        <v>104156</v>
      </c>
      <c r="P7">
        <v>295599</v>
      </c>
      <c r="Q7">
        <v>74395</v>
      </c>
      <c r="R7">
        <v>32500</v>
      </c>
      <c r="S7">
        <v>506650</v>
      </c>
    </row>
    <row r="8" spans="1:19" x14ac:dyDescent="0.3">
      <c r="A8" s="8" t="s">
        <v>19</v>
      </c>
      <c r="B8">
        <v>32800</v>
      </c>
      <c r="D8" s="8" t="s">
        <v>28</v>
      </c>
      <c r="E8">
        <v>247711</v>
      </c>
      <c r="G8" s="8" t="s">
        <v>19</v>
      </c>
      <c r="H8">
        <v>72</v>
      </c>
      <c r="J8" s="8" t="s">
        <v>28</v>
      </c>
      <c r="K8">
        <v>218975</v>
      </c>
      <c r="L8">
        <v>247711</v>
      </c>
      <c r="N8" s="8" t="s">
        <v>12</v>
      </c>
      <c r="O8">
        <v>188849</v>
      </c>
      <c r="Q8">
        <v>84999</v>
      </c>
      <c r="R8">
        <v>44210</v>
      </c>
      <c r="S8">
        <v>318058</v>
      </c>
    </row>
    <row r="9" spans="1:19" x14ac:dyDescent="0.3">
      <c r="A9" s="8" t="s">
        <v>13</v>
      </c>
      <c r="B9">
        <v>159856</v>
      </c>
      <c r="D9" s="8" t="s">
        <v>13</v>
      </c>
      <c r="E9">
        <v>2138573</v>
      </c>
      <c r="G9" s="8" t="s">
        <v>13</v>
      </c>
      <c r="H9">
        <v>328.5</v>
      </c>
      <c r="J9" s="8" t="s">
        <v>13</v>
      </c>
      <c r="K9">
        <v>1978717</v>
      </c>
      <c r="L9">
        <v>2138573</v>
      </c>
      <c r="N9" s="8" t="s">
        <v>19</v>
      </c>
      <c r="O9">
        <v>100499</v>
      </c>
      <c r="P9">
        <v>196210</v>
      </c>
      <c r="Q9">
        <v>92541</v>
      </c>
      <c r="R9">
        <v>34000</v>
      </c>
      <c r="S9">
        <v>423250</v>
      </c>
    </row>
    <row r="10" spans="1:19" x14ac:dyDescent="0.3">
      <c r="N10" s="8" t="s">
        <v>13</v>
      </c>
      <c r="O10">
        <v>510604</v>
      </c>
      <c r="P10">
        <v>1131159</v>
      </c>
      <c r="Q10">
        <v>350435</v>
      </c>
      <c r="R10">
        <v>146375</v>
      </c>
      <c r="S10">
        <v>2138573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D2C00-2A7D-4193-AC00-FBEAEE3ED67D}">
  <dimension ref="A1:A208"/>
  <sheetViews>
    <sheetView tabSelected="1" zoomScale="60" zoomScaleNormal="60" workbookViewId="0">
      <selection sqref="A1:XFD208"/>
    </sheetView>
  </sheetViews>
  <sheetFormatPr defaultRowHeight="14.4" x14ac:dyDescent="0.3"/>
  <sheetData>
    <row r="1" s="9" customFormat="1" x14ac:dyDescent="0.3"/>
    <row r="2" s="9" customFormat="1" x14ac:dyDescent="0.3"/>
    <row r="3" s="9" customFormat="1" x14ac:dyDescent="0.3"/>
    <row r="4" s="9" customFormat="1" x14ac:dyDescent="0.3"/>
    <row r="5" s="9" customFormat="1" x14ac:dyDescent="0.3"/>
    <row r="6" s="9" customFormat="1" x14ac:dyDescent="0.3"/>
    <row r="7" s="9" customFormat="1" x14ac:dyDescent="0.3"/>
    <row r="8" s="9" customFormat="1" x14ac:dyDescent="0.3"/>
    <row r="9" s="9" customFormat="1" x14ac:dyDescent="0.3"/>
    <row r="10" s="9" customFormat="1" x14ac:dyDescent="0.3"/>
    <row r="11" s="9" customFormat="1" x14ac:dyDescent="0.3"/>
    <row r="12" s="9" customFormat="1" x14ac:dyDescent="0.3"/>
    <row r="13" s="9" customFormat="1" x14ac:dyDescent="0.3"/>
    <row r="14" s="9" customFormat="1" x14ac:dyDescent="0.3"/>
    <row r="15" s="9" customFormat="1" x14ac:dyDescent="0.3"/>
    <row r="16" s="9" customFormat="1" x14ac:dyDescent="0.3"/>
    <row r="17" s="9" customFormat="1" x14ac:dyDescent="0.3"/>
    <row r="18" s="9" customFormat="1" x14ac:dyDescent="0.3"/>
    <row r="19" s="9" customFormat="1" x14ac:dyDescent="0.3"/>
    <row r="20" s="9" customFormat="1" x14ac:dyDescent="0.3"/>
    <row r="21" s="9" customFormat="1" x14ac:dyDescent="0.3"/>
    <row r="22" s="9" customFormat="1" x14ac:dyDescent="0.3"/>
    <row r="23" s="9" customFormat="1" x14ac:dyDescent="0.3"/>
    <row r="24" s="9" customFormat="1" x14ac:dyDescent="0.3"/>
    <row r="25" s="9" customFormat="1" x14ac:dyDescent="0.3"/>
    <row r="26" s="9" customFormat="1" x14ac:dyDescent="0.3"/>
    <row r="27" s="9" customFormat="1" x14ac:dyDescent="0.3"/>
    <row r="28" s="9" customFormat="1" x14ac:dyDescent="0.3"/>
    <row r="29" s="9" customFormat="1" x14ac:dyDescent="0.3"/>
    <row r="30" s="9" customFormat="1" x14ac:dyDescent="0.3"/>
    <row r="31" s="9" customFormat="1" x14ac:dyDescent="0.3"/>
    <row r="32" s="9" customFormat="1" x14ac:dyDescent="0.3"/>
    <row r="33" s="9" customFormat="1" x14ac:dyDescent="0.3"/>
    <row r="34" s="9" customFormat="1" x14ac:dyDescent="0.3"/>
    <row r="35" s="9" customFormat="1" x14ac:dyDescent="0.3"/>
    <row r="36" s="9" customFormat="1" x14ac:dyDescent="0.3"/>
    <row r="37" s="9" customFormat="1" x14ac:dyDescent="0.3"/>
    <row r="38" s="9" customFormat="1" x14ac:dyDescent="0.3"/>
    <row r="39" s="9" customFormat="1" x14ac:dyDescent="0.3"/>
    <row r="40" s="9" customFormat="1" x14ac:dyDescent="0.3"/>
    <row r="41" s="9" customFormat="1" x14ac:dyDescent="0.3"/>
    <row r="42" s="9" customFormat="1" x14ac:dyDescent="0.3"/>
    <row r="43" s="9" customFormat="1" ht="21" customHeight="1" x14ac:dyDescent="0.3"/>
    <row r="44" s="9" customFormat="1" ht="6.6" customHeight="1" x14ac:dyDescent="0.3"/>
    <row r="45" s="9" customFormat="1" x14ac:dyDescent="0.3"/>
    <row r="46" s="9" customFormat="1" x14ac:dyDescent="0.3"/>
    <row r="47" s="9" customFormat="1" x14ac:dyDescent="0.3"/>
    <row r="48" s="9" customFormat="1" x14ac:dyDescent="0.3"/>
    <row r="49" s="9" customFormat="1" x14ac:dyDescent="0.3"/>
    <row r="50" s="9" customFormat="1" x14ac:dyDescent="0.3"/>
    <row r="51" s="9" customFormat="1" x14ac:dyDescent="0.3"/>
    <row r="52" s="9" customFormat="1" x14ac:dyDescent="0.3"/>
    <row r="53" s="9" customFormat="1" x14ac:dyDescent="0.3"/>
    <row r="54" s="9" customFormat="1" x14ac:dyDescent="0.3"/>
    <row r="55" s="9" customFormat="1" x14ac:dyDescent="0.3"/>
    <row r="56" s="9" customFormat="1" x14ac:dyDescent="0.3"/>
    <row r="57" s="9" customFormat="1" x14ac:dyDescent="0.3"/>
    <row r="58" s="9" customFormat="1" x14ac:dyDescent="0.3"/>
    <row r="59" s="9" customFormat="1" x14ac:dyDescent="0.3"/>
    <row r="60" s="9" customFormat="1" x14ac:dyDescent="0.3"/>
    <row r="61" s="9" customFormat="1" x14ac:dyDescent="0.3"/>
    <row r="62" s="9" customFormat="1" x14ac:dyDescent="0.3"/>
    <row r="63" s="9" customFormat="1" x14ac:dyDescent="0.3"/>
    <row r="64" s="9" customFormat="1" x14ac:dyDescent="0.3"/>
    <row r="65" s="9" customFormat="1" x14ac:dyDescent="0.3"/>
    <row r="66" s="9" customFormat="1" x14ac:dyDescent="0.3"/>
    <row r="67" s="9" customFormat="1" x14ac:dyDescent="0.3"/>
    <row r="68" s="9" customFormat="1" x14ac:dyDescent="0.3"/>
    <row r="69" s="9" customFormat="1" x14ac:dyDescent="0.3"/>
    <row r="70" s="9" customFormat="1" x14ac:dyDescent="0.3"/>
    <row r="71" s="9" customFormat="1" x14ac:dyDescent="0.3"/>
    <row r="72" s="9" customFormat="1" x14ac:dyDescent="0.3"/>
    <row r="73" s="9" customFormat="1" x14ac:dyDescent="0.3"/>
    <row r="74" s="9" customFormat="1" x14ac:dyDescent="0.3"/>
    <row r="75" s="9" customFormat="1" x14ac:dyDescent="0.3"/>
    <row r="76" s="9" customFormat="1" x14ac:dyDescent="0.3"/>
    <row r="77" s="9" customFormat="1" x14ac:dyDescent="0.3"/>
    <row r="78" s="9" customFormat="1" x14ac:dyDescent="0.3"/>
    <row r="79" s="9" customFormat="1" x14ac:dyDescent="0.3"/>
    <row r="80" s="9" customFormat="1" x14ac:dyDescent="0.3"/>
    <row r="81" s="9" customFormat="1" x14ac:dyDescent="0.3"/>
    <row r="82" s="9" customFormat="1" x14ac:dyDescent="0.3"/>
    <row r="83" s="9" customFormat="1" x14ac:dyDescent="0.3"/>
    <row r="84" s="9" customFormat="1" x14ac:dyDescent="0.3"/>
    <row r="85" s="9" customFormat="1" x14ac:dyDescent="0.3"/>
    <row r="86" s="9" customFormat="1" x14ac:dyDescent="0.3"/>
    <row r="87" s="9" customFormat="1" x14ac:dyDescent="0.3"/>
    <row r="88" s="9" customFormat="1" x14ac:dyDescent="0.3"/>
    <row r="89" s="9" customFormat="1" x14ac:dyDescent="0.3"/>
    <row r="90" s="9" customFormat="1" x14ac:dyDescent="0.3"/>
    <row r="91" s="9" customFormat="1" x14ac:dyDescent="0.3"/>
    <row r="92" s="9" customFormat="1" x14ac:dyDescent="0.3"/>
    <row r="93" s="9" customFormat="1" x14ac:dyDescent="0.3"/>
    <row r="94" s="9" customFormat="1" x14ac:dyDescent="0.3"/>
    <row r="95" s="9" customFormat="1" x14ac:dyDescent="0.3"/>
    <row r="96" s="9" customFormat="1" x14ac:dyDescent="0.3"/>
    <row r="97" s="9" customFormat="1" x14ac:dyDescent="0.3"/>
    <row r="98" s="9" customFormat="1" x14ac:dyDescent="0.3"/>
    <row r="99" s="9" customFormat="1" x14ac:dyDescent="0.3"/>
    <row r="100" s="9" customFormat="1" x14ac:dyDescent="0.3"/>
    <row r="101" s="9" customFormat="1" x14ac:dyDescent="0.3"/>
    <row r="102" s="9" customFormat="1" x14ac:dyDescent="0.3"/>
    <row r="103" s="9" customFormat="1" x14ac:dyDescent="0.3"/>
    <row r="104" s="9" customFormat="1" x14ac:dyDescent="0.3"/>
    <row r="105" s="9" customFormat="1" x14ac:dyDescent="0.3"/>
    <row r="106" s="9" customFormat="1" x14ac:dyDescent="0.3"/>
    <row r="107" s="9" customFormat="1" x14ac:dyDescent="0.3"/>
    <row r="108" s="9" customFormat="1" x14ac:dyDescent="0.3"/>
    <row r="109" s="9" customFormat="1" x14ac:dyDescent="0.3"/>
    <row r="110" s="9" customFormat="1" x14ac:dyDescent="0.3"/>
    <row r="111" s="9" customFormat="1" x14ac:dyDescent="0.3"/>
    <row r="112" s="9" customFormat="1" x14ac:dyDescent="0.3"/>
    <row r="113" s="9" customFormat="1" x14ac:dyDescent="0.3"/>
    <row r="114" s="9" customFormat="1" x14ac:dyDescent="0.3"/>
    <row r="115" s="9" customFormat="1" x14ac:dyDescent="0.3"/>
    <row r="116" s="9" customFormat="1" x14ac:dyDescent="0.3"/>
    <row r="117" s="9" customFormat="1" x14ac:dyDescent="0.3"/>
    <row r="118" s="9" customFormat="1" x14ac:dyDescent="0.3"/>
    <row r="119" s="9" customFormat="1" x14ac:dyDescent="0.3"/>
    <row r="120" s="9" customFormat="1" x14ac:dyDescent="0.3"/>
    <row r="121" s="9" customFormat="1" x14ac:dyDescent="0.3"/>
    <row r="122" s="9" customFormat="1" x14ac:dyDescent="0.3"/>
    <row r="123" s="9" customFormat="1" x14ac:dyDescent="0.3"/>
    <row r="124" s="9" customFormat="1" x14ac:dyDescent="0.3"/>
    <row r="125" s="9" customFormat="1" x14ac:dyDescent="0.3"/>
    <row r="126" s="9" customFormat="1" x14ac:dyDescent="0.3"/>
    <row r="127" s="9" customFormat="1" x14ac:dyDescent="0.3"/>
    <row r="128" s="9" customFormat="1" x14ac:dyDescent="0.3"/>
    <row r="129" s="9" customFormat="1" x14ac:dyDescent="0.3"/>
    <row r="130" s="9" customFormat="1" x14ac:dyDescent="0.3"/>
    <row r="131" s="9" customFormat="1" x14ac:dyDescent="0.3"/>
    <row r="132" s="9" customFormat="1" x14ac:dyDescent="0.3"/>
    <row r="133" s="9" customFormat="1" x14ac:dyDescent="0.3"/>
    <row r="134" s="9" customFormat="1" x14ac:dyDescent="0.3"/>
    <row r="135" s="9" customFormat="1" x14ac:dyDescent="0.3"/>
    <row r="136" s="9" customFormat="1" x14ac:dyDescent="0.3"/>
    <row r="137" s="9" customFormat="1" x14ac:dyDescent="0.3"/>
    <row r="138" s="9" customFormat="1" x14ac:dyDescent="0.3"/>
    <row r="139" s="9" customFormat="1" x14ac:dyDescent="0.3"/>
    <row r="140" s="9" customFormat="1" x14ac:dyDescent="0.3"/>
    <row r="141" s="9" customFormat="1" x14ac:dyDescent="0.3"/>
    <row r="142" s="9" customFormat="1" x14ac:dyDescent="0.3"/>
    <row r="143" s="9" customFormat="1" x14ac:dyDescent="0.3"/>
    <row r="144" s="9" customFormat="1" x14ac:dyDescent="0.3"/>
    <row r="145" s="9" customFormat="1" x14ac:dyDescent="0.3"/>
    <row r="146" s="9" customFormat="1" x14ac:dyDescent="0.3"/>
    <row r="147" s="9" customFormat="1" x14ac:dyDescent="0.3"/>
    <row r="148" s="9" customFormat="1" x14ac:dyDescent="0.3"/>
    <row r="149" s="9" customFormat="1" x14ac:dyDescent="0.3"/>
    <row r="150" s="9" customFormat="1" x14ac:dyDescent="0.3"/>
    <row r="151" s="9" customFormat="1" x14ac:dyDescent="0.3"/>
    <row r="152" s="9" customFormat="1" x14ac:dyDescent="0.3"/>
    <row r="153" s="9" customFormat="1" x14ac:dyDescent="0.3"/>
    <row r="154" s="9" customFormat="1" x14ac:dyDescent="0.3"/>
    <row r="155" s="9" customFormat="1" x14ac:dyDescent="0.3"/>
    <row r="156" s="9" customFormat="1" x14ac:dyDescent="0.3"/>
    <row r="157" s="9" customFormat="1" x14ac:dyDescent="0.3"/>
    <row r="158" s="9" customFormat="1" x14ac:dyDescent="0.3"/>
    <row r="159" s="9" customFormat="1" x14ac:dyDescent="0.3"/>
    <row r="160" s="9" customFormat="1" x14ac:dyDescent="0.3"/>
    <row r="161" s="9" customFormat="1" x14ac:dyDescent="0.3"/>
    <row r="162" s="9" customFormat="1" x14ac:dyDescent="0.3"/>
    <row r="163" s="9" customFormat="1" x14ac:dyDescent="0.3"/>
    <row r="164" s="9" customFormat="1" x14ac:dyDescent="0.3"/>
    <row r="165" s="9" customFormat="1" x14ac:dyDescent="0.3"/>
    <row r="166" s="9" customFormat="1" x14ac:dyDescent="0.3"/>
    <row r="167" s="9" customFormat="1" x14ac:dyDescent="0.3"/>
    <row r="168" s="9" customFormat="1" x14ac:dyDescent="0.3"/>
    <row r="169" s="9" customFormat="1" x14ac:dyDescent="0.3"/>
    <row r="170" s="9" customFormat="1" x14ac:dyDescent="0.3"/>
    <row r="171" s="9" customFormat="1" x14ac:dyDescent="0.3"/>
    <row r="172" s="9" customFormat="1" x14ac:dyDescent="0.3"/>
    <row r="173" s="9" customFormat="1" x14ac:dyDescent="0.3"/>
    <row r="174" s="9" customFormat="1" x14ac:dyDescent="0.3"/>
    <row r="175" s="9" customFormat="1" x14ac:dyDescent="0.3"/>
    <row r="176" s="9" customFormat="1" x14ac:dyDescent="0.3"/>
    <row r="177" s="9" customFormat="1" x14ac:dyDescent="0.3"/>
    <row r="178" s="9" customFormat="1" x14ac:dyDescent="0.3"/>
    <row r="179" s="9" customFormat="1" x14ac:dyDescent="0.3"/>
    <row r="180" s="9" customFormat="1" x14ac:dyDescent="0.3"/>
    <row r="181" s="9" customFormat="1" x14ac:dyDescent="0.3"/>
    <row r="182" s="9" customFormat="1" x14ac:dyDescent="0.3"/>
    <row r="183" s="9" customFormat="1" x14ac:dyDescent="0.3"/>
    <row r="184" s="9" customFormat="1" x14ac:dyDescent="0.3"/>
    <row r="185" s="9" customFormat="1" x14ac:dyDescent="0.3"/>
    <row r="186" s="9" customFormat="1" x14ac:dyDescent="0.3"/>
    <row r="187" s="9" customFormat="1" x14ac:dyDescent="0.3"/>
    <row r="188" s="9" customFormat="1" x14ac:dyDescent="0.3"/>
    <row r="189" s="9" customFormat="1" x14ac:dyDescent="0.3"/>
    <row r="190" s="9" customFormat="1" x14ac:dyDescent="0.3"/>
    <row r="191" s="9" customFormat="1" x14ac:dyDescent="0.3"/>
    <row r="192" s="9" customFormat="1" x14ac:dyDescent="0.3"/>
    <row r="193" s="9" customFormat="1" x14ac:dyDescent="0.3"/>
    <row r="194" s="9" customFormat="1" x14ac:dyDescent="0.3"/>
    <row r="195" s="9" customFormat="1" x14ac:dyDescent="0.3"/>
    <row r="196" s="9" customFormat="1" x14ac:dyDescent="0.3"/>
    <row r="197" s="9" customFormat="1" x14ac:dyDescent="0.3"/>
    <row r="198" s="9" customFormat="1" x14ac:dyDescent="0.3"/>
    <row r="199" s="9" customFormat="1" x14ac:dyDescent="0.3"/>
    <row r="200" s="9" customFormat="1" x14ac:dyDescent="0.3"/>
    <row r="201" s="9" customFormat="1" x14ac:dyDescent="0.3"/>
    <row r="202" s="9" customFormat="1" x14ac:dyDescent="0.3"/>
    <row r="203" s="9" customFormat="1" x14ac:dyDescent="0.3"/>
    <row r="204" s="9" customFormat="1" x14ac:dyDescent="0.3"/>
    <row r="205" s="9" customFormat="1" x14ac:dyDescent="0.3"/>
    <row r="206" s="9" customFormat="1" x14ac:dyDescent="0.3"/>
    <row r="207" s="9" customFormat="1" x14ac:dyDescent="0.3"/>
    <row r="208" s="9" customFormat="1" x14ac:dyDescent="0.3"/>
  </sheetData>
  <mergeCells count="1">
    <mergeCell ref="A1:XFD20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Venkatesh Shanmugaraj</dc:creator>
  <cp:lastModifiedBy>Venkatesh Shanmugaraj</cp:lastModifiedBy>
  <dcterms:created xsi:type="dcterms:W3CDTF">2025-07-31T18:38:55Z</dcterms:created>
  <dcterms:modified xsi:type="dcterms:W3CDTF">2025-08-15T15:54:13Z</dcterms:modified>
</cp:coreProperties>
</file>